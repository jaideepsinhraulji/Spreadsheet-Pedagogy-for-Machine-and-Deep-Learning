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_ai\aialgo\for git\"/>
    </mc:Choice>
  </mc:AlternateContent>
  <xr:revisionPtr revIDLastSave="0" documentId="13_ncr:1_{D63DCF7B-E2A5-4127-B915-157C5C450610}" xr6:coauthVersionLast="47" xr6:coauthVersionMax="47" xr10:uidLastSave="{00000000-0000-0000-0000-000000000000}"/>
  <bookViews>
    <workbookView xWindow="-120" yWindow="-120" windowWidth="20730" windowHeight="11040" tabRatio="812" xr2:uid="{00000000-000D-0000-FFFF-FFFF00000000}"/>
  </bookViews>
  <sheets>
    <sheet name="MNB" sheetId="1" r:id="rId1"/>
    <sheet name="MNB1" sheetId="2" r:id="rId2"/>
    <sheet name="MNB2" sheetId="3" r:id="rId3"/>
    <sheet name="MNB2 Laplace" sheetId="10" r:id="rId4"/>
    <sheet name="MNB2 (2)" sheetId="8" r:id="rId5"/>
    <sheet name="GNB" sheetId="5" r:id="rId6"/>
    <sheet name="traintest" sheetId="13" r:id="rId7"/>
  </sheets>
  <definedNames>
    <definedName name="age" localSheetId="5">GNB!$A$2:$A$401</definedName>
    <definedName name="age">#REF!</definedName>
    <definedName name="salary" localSheetId="5">GNB!$B$2:$B$401</definedName>
    <definedName name="sala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I15" i="8"/>
  <c r="I11" i="8"/>
  <c r="R36" i="5"/>
  <c r="J3" i="8"/>
  <c r="J5" i="8"/>
  <c r="J2" i="3"/>
  <c r="I3" i="1"/>
  <c r="I7" i="1"/>
  <c r="I6" i="1"/>
  <c r="O33" i="5"/>
  <c r="R37" i="5" s="1"/>
  <c r="O32" i="5"/>
  <c r="O29" i="5"/>
  <c r="O28" i="5"/>
  <c r="G8" i="5"/>
  <c r="G7" i="5"/>
  <c r="G19" i="5"/>
  <c r="G20" i="5" l="1"/>
  <c r="G15" i="5"/>
  <c r="G14" i="5"/>
  <c r="G13" i="5"/>
  <c r="G12" i="5"/>
  <c r="G10" i="5"/>
  <c r="G9" i="5"/>
  <c r="G5" i="5"/>
  <c r="G4" i="5"/>
  <c r="G3" i="5"/>
  <c r="I16" i="10"/>
  <c r="J15" i="10"/>
  <c r="I15" i="10"/>
  <c r="K12" i="10"/>
  <c r="J11" i="10"/>
  <c r="I11" i="10"/>
  <c r="R6" i="10"/>
  <c r="N6" i="10"/>
  <c r="J6" i="10"/>
  <c r="R5" i="10"/>
  <c r="N5" i="10"/>
  <c r="J5" i="10"/>
  <c r="V3" i="10"/>
  <c r="R3" i="10"/>
  <c r="N3" i="10"/>
  <c r="J3" i="10"/>
  <c r="V2" i="10"/>
  <c r="R2" i="10"/>
  <c r="N2" i="10"/>
  <c r="J2" i="10"/>
  <c r="I19" i="8"/>
  <c r="J15" i="8"/>
  <c r="L12" i="8"/>
  <c r="J11" i="8"/>
  <c r="R6" i="8"/>
  <c r="N6" i="8"/>
  <c r="J6" i="8"/>
  <c r="R5" i="8"/>
  <c r="N5" i="8"/>
  <c r="V3" i="8"/>
  <c r="R3" i="8"/>
  <c r="N3" i="8"/>
  <c r="V2" i="8"/>
  <c r="R2" i="8"/>
  <c r="N2" i="8"/>
  <c r="J2" i="8"/>
  <c r="K23" i="3"/>
  <c r="I23" i="3"/>
  <c r="K22" i="3"/>
  <c r="I22" i="3"/>
  <c r="K21" i="3"/>
  <c r="I21" i="3"/>
  <c r="I16" i="3"/>
  <c r="K15" i="3"/>
  <c r="I15" i="3"/>
  <c r="M11" i="3"/>
  <c r="K11" i="3"/>
  <c r="R6" i="3"/>
  <c r="N6" i="3"/>
  <c r="J6" i="3"/>
  <c r="R5" i="3"/>
  <c r="N5" i="3"/>
  <c r="J5" i="3"/>
  <c r="V3" i="3"/>
  <c r="R3" i="3"/>
  <c r="N3" i="3"/>
  <c r="J3" i="3"/>
  <c r="V2" i="3"/>
  <c r="R2" i="3"/>
  <c r="N2" i="3"/>
  <c r="I15" i="2"/>
  <c r="I11" i="2"/>
  <c r="R6" i="2"/>
  <c r="N6" i="2"/>
  <c r="J6" i="2"/>
  <c r="R5" i="2"/>
  <c r="N5" i="2"/>
  <c r="J5" i="2"/>
  <c r="V3" i="2"/>
  <c r="R3" i="2"/>
  <c r="N3" i="2"/>
  <c r="J3" i="2"/>
  <c r="V2" i="2"/>
  <c r="R2" i="2"/>
  <c r="N2" i="2"/>
  <c r="J2" i="2"/>
  <c r="H16" i="1"/>
  <c r="H12" i="1"/>
  <c r="O7" i="1"/>
  <c r="L7" i="1"/>
  <c r="O6" i="1"/>
  <c r="L6" i="1"/>
  <c r="O4" i="1"/>
  <c r="L4" i="1"/>
  <c r="I4" i="1"/>
  <c r="R3" i="1"/>
  <c r="O3" i="1"/>
  <c r="L3" i="1"/>
  <c r="R2" i="1"/>
</calcChain>
</file>

<file path=xl/sharedStrings.xml><?xml version="1.0" encoding="utf-8"?>
<sst xmlns="http://schemas.openxmlformats.org/spreadsheetml/2006/main" count="563" uniqueCount="99">
  <si>
    <t>Sr. No.</t>
  </si>
  <si>
    <t>Color</t>
  </si>
  <si>
    <t>Type</t>
  </si>
  <si>
    <t>Origin</t>
  </si>
  <si>
    <t>Stolen</t>
  </si>
  <si>
    <t>Red</t>
  </si>
  <si>
    <t>Yellow</t>
  </si>
  <si>
    <t>Sports</t>
  </si>
  <si>
    <t>SUV</t>
  </si>
  <si>
    <t>Domestic</t>
  </si>
  <si>
    <t>Imported</t>
  </si>
  <si>
    <t>Yes</t>
  </si>
  <si>
    <t>No</t>
  </si>
  <si>
    <t xml:space="preserve">Sports </t>
  </si>
  <si>
    <t>P(No)</t>
  </si>
  <si>
    <t>Hence</t>
  </si>
  <si>
    <t>P(Yes|X)=P(Red|Yes)*P(SUV|Yes)*P(Domestic|Yes)*P(Yes)</t>
  </si>
  <si>
    <t>So now substituting</t>
  </si>
  <si>
    <t>P(Red | Yes)</t>
  </si>
  <si>
    <t>P(Yellow|Yes)</t>
  </si>
  <si>
    <t>P(Sports | Yes)</t>
  </si>
  <si>
    <t>P(Sports | No)</t>
  </si>
  <si>
    <t>P(SUV | No)</t>
  </si>
  <si>
    <t>P(SUV | Yes)</t>
  </si>
  <si>
    <t>P(Domestic|Yes)</t>
  </si>
  <si>
    <t>P(Imported|Yes)</t>
  </si>
  <si>
    <t>P(Red|No)</t>
  </si>
  <si>
    <t>P(Yellow|No)</t>
  </si>
  <si>
    <t>P(Domestic|No)</t>
  </si>
  <si>
    <t>P(Imported|No)</t>
  </si>
  <si>
    <t>Now</t>
  </si>
  <si>
    <t>P(No|X)=P(Red|No)*P(SUV|No)*P(Domestic|No)*P(No)</t>
  </si>
  <si>
    <t>Conclusion</t>
  </si>
  <si>
    <t>(Chain Rule of Bayes Probability)</t>
  </si>
  <si>
    <t>So 0.024 &lt; 0.072 so the 11th record is predicted as No means if color is red, type is suv and origin is domestic then it would not be stolen</t>
  </si>
  <si>
    <t>Yes/No ??</t>
  </si>
  <si>
    <t>P(Yes)</t>
  </si>
  <si>
    <t>P(Yes|X)=P(Yellow|Yes)*P(Sports|Yes)*P(Imported|Yes)*P(Yes)</t>
  </si>
  <si>
    <t>P(No|X)=P(Yellow|No)*P(Sports|No)*P(Imported|No)*P(No)</t>
  </si>
  <si>
    <t>So _____ &gt; _____ so the 11th record is predicted as _________ means if color is Yellow, type is Sports and origin is imported then it would ________ stolen</t>
  </si>
  <si>
    <t>Age</t>
  </si>
  <si>
    <t>EstimatedSalary</t>
  </si>
  <si>
    <t>Purchased</t>
  </si>
  <si>
    <t>f(x) = (1 / (σ * sqrt(2 * π))) * exp(-((x - μ)^2) / (2 * σ^2))</t>
  </si>
  <si>
    <t>Count of 0</t>
  </si>
  <si>
    <t>Count of 1</t>
  </si>
  <si>
    <t xml:space="preserve">. </t>
  </si>
  <si>
    <t>Mean of Age for 0</t>
  </si>
  <si>
    <t>SD of Age for 0</t>
  </si>
  <si>
    <t>Mean of Age for 1</t>
  </si>
  <si>
    <t>SD of Age for 1</t>
  </si>
  <si>
    <t>Mean of Sal for 0</t>
  </si>
  <si>
    <t>SD of sal for 0</t>
  </si>
  <si>
    <t>Mean of Sal for 1</t>
  </si>
  <si>
    <t>SD of sal for 1</t>
  </si>
  <si>
    <t>3. Calculate prior probabilities (prob of target var)</t>
  </si>
  <si>
    <t>P(purchased=0)</t>
  </si>
  <si>
    <t>P(purchased=1)</t>
  </si>
  <si>
    <t>4. Prediction Phase</t>
  </si>
  <si>
    <t>Salary</t>
  </si>
  <si>
    <t>Buy ??</t>
  </si>
  <si>
    <t>For NO</t>
  </si>
  <si>
    <t>For YES</t>
  </si>
  <si>
    <t>Calculate Posterior prob using bayes theorem</t>
  </si>
  <si>
    <t>A</t>
  </si>
  <si>
    <t>B</t>
  </si>
  <si>
    <t>Ans is the greater from A and B</t>
  </si>
  <si>
    <t>P(Age=21| purchased=0)</t>
  </si>
  <si>
    <t>P(salary=20000 | purchased=0)</t>
  </si>
  <si>
    <t>P(Age=21| purchased=1)</t>
  </si>
  <si>
    <t>P(salary=20000 | purchased=1)</t>
  </si>
  <si>
    <t>P(purchased=0 | age=21, salary=20000) = P(Age=21 | purchased=0) * p(salary=20000 | purchased=0) * P(purchased=0)</t>
  </si>
  <si>
    <t>P(purchased=1 | age=21, salary=20000) = P(Age=21 | purchased=1) * p(salary=20000 | purchased=1) * P(purchased=1)</t>
  </si>
  <si>
    <t>P(Color|Stolen)</t>
  </si>
  <si>
    <t>P(Type| Stolen)</t>
  </si>
  <si>
    <t>P(Origin | Stolen)</t>
  </si>
  <si>
    <t>P(Color | Stolen)</t>
  </si>
  <si>
    <t>P(Type | Stolen)</t>
  </si>
  <si>
    <t>P(Type | Stolen )</t>
  </si>
  <si>
    <t>is sum of I11+I16</t>
  </si>
  <si>
    <t>is % prob</t>
  </si>
  <si>
    <t>Laplace Smoothing by adding 1</t>
  </si>
  <si>
    <t>Log Probabilities</t>
  </si>
  <si>
    <t>to avoid underflow</t>
  </si>
  <si>
    <t>Sal</t>
  </si>
  <si>
    <t>1. Separate data by target  feature categories. Here Purchased 0 and 1</t>
  </si>
  <si>
    <t>2. Caculate Mean and SD for each output class</t>
  </si>
  <si>
    <t>Calculate likelihood score using PDF</t>
  </si>
  <si>
    <t>Here, P(Color | Stolen), P(Type | Stolen) etc are nothing but likelihood calculations as in prediction we need to find P( Yes or No | features)</t>
  </si>
  <si>
    <t>Laplace Smoothing Example</t>
  </si>
  <si>
    <t>x1</t>
  </si>
  <si>
    <t>x2</t>
  </si>
  <si>
    <t>x3</t>
  </si>
  <si>
    <t>x4</t>
  </si>
  <si>
    <t>Y</t>
  </si>
  <si>
    <t>X TRAIN</t>
  </si>
  <si>
    <t>Y TRAIN</t>
  </si>
  <si>
    <t>Y TEST</t>
  </si>
  <si>
    <t>X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</si>
</sst>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000"/>
    <numFmt numFmtId="166" formatCode="0.0000000000000000"/>
    <numFmt numFmtId="167" formatCode="0.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0" fillId="0" borderId="0" xfId="0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 applyAlignment="1">
      <alignment horizontal="right"/>
    </xf>
    <xf numFmtId="0" fontId="0" fillId="4" borderId="6" xfId="0" applyFill="1" applyBorder="1"/>
    <xf numFmtId="0" fontId="0" fillId="4" borderId="0" xfId="0" applyFill="1"/>
    <xf numFmtId="2" fontId="0" fillId="4" borderId="1" xfId="0" applyNumberFormat="1" applyFill="1" applyBorder="1"/>
    <xf numFmtId="0" fontId="0" fillId="6" borderId="1" xfId="0" applyFill="1" applyBorder="1"/>
    <xf numFmtId="0" fontId="0" fillId="6" borderId="0" xfId="0" applyFill="1"/>
    <xf numFmtId="0" fontId="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2" xfId="0" applyFill="1" applyBorder="1"/>
    <xf numFmtId="0" fontId="0" fillId="3" borderId="1" xfId="0" applyFill="1" applyBorder="1" applyAlignment="1">
      <alignment horizontal="left"/>
    </xf>
    <xf numFmtId="0" fontId="0" fillId="8" borderId="1" xfId="0" applyFill="1" applyBorder="1"/>
    <xf numFmtId="0" fontId="0" fillId="6" borderId="2" xfId="0" applyFill="1" applyBorder="1"/>
    <xf numFmtId="0" fontId="1" fillId="7" borderId="0" xfId="0" applyFont="1" applyFill="1" applyAlignment="1">
      <alignment horizontal="center"/>
    </xf>
    <xf numFmtId="0" fontId="0" fillId="0" borderId="0" xfId="0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8" borderId="1" xfId="0" applyFont="1" applyFill="1" applyBorder="1" applyAlignment="1">
      <alignment wrapText="1"/>
    </xf>
    <xf numFmtId="0" fontId="0" fillId="9" borderId="1" xfId="0" applyFill="1" applyBorder="1"/>
    <xf numFmtId="0" fontId="0" fillId="3" borderId="0" xfId="0" applyFill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left"/>
    </xf>
    <xf numFmtId="164" fontId="2" fillId="0" borderId="1" xfId="0" applyNumberFormat="1" applyFont="1" applyBorder="1"/>
    <xf numFmtId="164" fontId="2" fillId="0" borderId="0" xfId="0" applyNumberFormat="1" applyFont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7" fillId="8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53027</xdr:colOff>
      <xdr:row>37</xdr:row>
      <xdr:rowOff>111127</xdr:rowOff>
    </xdr:from>
    <xdr:to>
      <xdr:col>9</xdr:col>
      <xdr:colOff>601628</xdr:colOff>
      <xdr:row>41</xdr:row>
      <xdr:rowOff>132293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8C4D0-2224-F097-95F7-36704C837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2819" y="7387169"/>
          <a:ext cx="1765684" cy="783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71E53A-A9F3-4FA2-925D-61F600A34600}">
  <we:reference id="wa200006009" version="2.1.0.10" store="en-U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zoomScale="170" zoomScaleNormal="170" workbookViewId="0">
      <selection activeCell="K3" sqref="K3"/>
    </sheetView>
  </sheetViews>
  <sheetFormatPr defaultRowHeight="15" x14ac:dyDescent="0.25"/>
  <cols>
    <col min="1" max="1" width="6.85546875" style="5" bestFit="1" customWidth="1"/>
    <col min="2" max="2" width="7" bestFit="1" customWidth="1"/>
    <col min="4" max="4" width="9.28515625" bestFit="1" customWidth="1"/>
    <col min="5" max="5" width="6.85546875" customWidth="1"/>
    <col min="6" max="6" width="4" customWidth="1"/>
    <col min="7" max="7" width="6.7109375" customWidth="1"/>
    <col min="8" max="8" width="13.7109375" bestFit="1" customWidth="1"/>
    <col min="9" max="9" width="5.42578125" customWidth="1"/>
    <col min="10" max="10" width="7" bestFit="1" customWidth="1"/>
    <col min="11" max="11" width="14.140625" bestFit="1" customWidth="1"/>
    <col min="12" max="12" width="5.85546875" customWidth="1"/>
    <col min="13" max="13" width="9.42578125" customWidth="1"/>
    <col min="14" max="14" width="15.85546875" customWidth="1"/>
    <col min="15" max="15" width="5" customWidth="1"/>
  </cols>
  <sheetData>
    <row r="1" spans="1:18" x14ac:dyDescent="0.25">
      <c r="G1" s="37" t="s">
        <v>88</v>
      </c>
    </row>
    <row r="2" spans="1:18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6"/>
      <c r="G2" s="42" t="s">
        <v>73</v>
      </c>
      <c r="H2" s="43"/>
      <c r="I2" s="44"/>
      <c r="J2" s="45" t="s">
        <v>74</v>
      </c>
      <c r="K2" s="45"/>
      <c r="L2" s="45"/>
      <c r="M2" s="46" t="s">
        <v>75</v>
      </c>
      <c r="N2" s="46"/>
      <c r="O2" s="46"/>
      <c r="Q2" s="2" t="s">
        <v>36</v>
      </c>
      <c r="R2" s="2">
        <f>5/10</f>
        <v>0.5</v>
      </c>
    </row>
    <row r="3" spans="1:18" x14ac:dyDescent="0.25">
      <c r="A3" s="4">
        <v>1</v>
      </c>
      <c r="B3" s="2" t="s">
        <v>5</v>
      </c>
      <c r="C3" s="2" t="s">
        <v>7</v>
      </c>
      <c r="D3" s="2" t="s">
        <v>9</v>
      </c>
      <c r="E3" s="2" t="s">
        <v>11</v>
      </c>
      <c r="F3" s="2"/>
      <c r="G3" s="8" t="s">
        <v>5</v>
      </c>
      <c r="H3" s="8" t="s">
        <v>18</v>
      </c>
      <c r="I3" s="8">
        <f>COUNTIFS(B3:B12,"Red",E3:E12,"Yes")/COUNTIF(E3:E12,"Yes")</f>
        <v>0.6</v>
      </c>
      <c r="J3" s="9" t="s">
        <v>13</v>
      </c>
      <c r="K3" s="9" t="s">
        <v>20</v>
      </c>
      <c r="L3" s="10">
        <f>4/5</f>
        <v>0.8</v>
      </c>
      <c r="M3" s="14" t="s">
        <v>9</v>
      </c>
      <c r="N3" s="14" t="s">
        <v>24</v>
      </c>
      <c r="O3" s="14">
        <f>2/5</f>
        <v>0.4</v>
      </c>
      <c r="Q3" s="2" t="s">
        <v>14</v>
      </c>
      <c r="R3" s="2">
        <f>5/10</f>
        <v>0.5</v>
      </c>
    </row>
    <row r="4" spans="1:18" x14ac:dyDescent="0.25">
      <c r="A4" s="4">
        <v>2</v>
      </c>
      <c r="B4" s="2" t="s">
        <v>5</v>
      </c>
      <c r="C4" s="2" t="s">
        <v>7</v>
      </c>
      <c r="D4" s="2" t="s">
        <v>9</v>
      </c>
      <c r="E4" s="2" t="s">
        <v>12</v>
      </c>
      <c r="F4" s="2"/>
      <c r="G4" s="8" t="s">
        <v>6</v>
      </c>
      <c r="H4" s="8" t="s">
        <v>19</v>
      </c>
      <c r="I4" s="8">
        <f>2/5</f>
        <v>0.4</v>
      </c>
      <c r="J4" s="9" t="s">
        <v>8</v>
      </c>
      <c r="K4" s="9" t="s">
        <v>23</v>
      </c>
      <c r="L4" s="9">
        <f>1/5</f>
        <v>0.2</v>
      </c>
      <c r="M4" s="14" t="s">
        <v>10</v>
      </c>
      <c r="N4" s="14" t="s">
        <v>25</v>
      </c>
      <c r="O4" s="14">
        <f>3/5</f>
        <v>0.6</v>
      </c>
    </row>
    <row r="5" spans="1:18" x14ac:dyDescent="0.25">
      <c r="A5" s="4">
        <v>3</v>
      </c>
      <c r="B5" s="2" t="s">
        <v>5</v>
      </c>
      <c r="C5" s="2" t="s">
        <v>7</v>
      </c>
      <c r="D5" s="2" t="s">
        <v>9</v>
      </c>
      <c r="E5" s="2" t="s">
        <v>11</v>
      </c>
      <c r="F5" s="2"/>
      <c r="G5" s="8"/>
      <c r="H5" s="8"/>
      <c r="I5" s="8"/>
      <c r="J5" s="11"/>
      <c r="K5" s="12"/>
      <c r="L5" s="12"/>
      <c r="M5" s="15"/>
      <c r="N5" s="15"/>
      <c r="O5" s="15"/>
    </row>
    <row r="6" spans="1:18" x14ac:dyDescent="0.25">
      <c r="A6" s="4">
        <v>4</v>
      </c>
      <c r="B6" s="2" t="s">
        <v>6</v>
      </c>
      <c r="C6" s="2" t="s">
        <v>7</v>
      </c>
      <c r="D6" s="2" t="s">
        <v>9</v>
      </c>
      <c r="E6" s="2" t="s">
        <v>12</v>
      </c>
      <c r="F6" s="2"/>
      <c r="G6" s="8" t="s">
        <v>5</v>
      </c>
      <c r="H6" s="8" t="s">
        <v>26</v>
      </c>
      <c r="I6" s="8">
        <f>2/5</f>
        <v>0.4</v>
      </c>
      <c r="J6" s="9" t="s">
        <v>13</v>
      </c>
      <c r="K6" s="9" t="s">
        <v>21</v>
      </c>
      <c r="L6" s="13">
        <f>2/5</f>
        <v>0.4</v>
      </c>
      <c r="M6" s="14" t="s">
        <v>9</v>
      </c>
      <c r="N6" s="14" t="s">
        <v>28</v>
      </c>
      <c r="O6" s="14">
        <f>3/5</f>
        <v>0.6</v>
      </c>
    </row>
    <row r="7" spans="1:18" x14ac:dyDescent="0.25">
      <c r="A7" s="4">
        <v>5</v>
      </c>
      <c r="B7" s="2" t="s">
        <v>6</v>
      </c>
      <c r="C7" s="2" t="s">
        <v>7</v>
      </c>
      <c r="D7" s="2" t="s">
        <v>10</v>
      </c>
      <c r="E7" s="2" t="s">
        <v>11</v>
      </c>
      <c r="F7" s="2"/>
      <c r="G7" s="8" t="s">
        <v>6</v>
      </c>
      <c r="H7" s="8" t="s">
        <v>27</v>
      </c>
      <c r="I7" s="8">
        <f>3/5</f>
        <v>0.6</v>
      </c>
      <c r="J7" s="9" t="s">
        <v>8</v>
      </c>
      <c r="K7" s="9" t="s">
        <v>22</v>
      </c>
      <c r="L7" s="9">
        <f>3/5</f>
        <v>0.6</v>
      </c>
      <c r="M7" s="14" t="s">
        <v>10</v>
      </c>
      <c r="N7" s="14" t="s">
        <v>29</v>
      </c>
      <c r="O7" s="14">
        <f>2/5</f>
        <v>0.4</v>
      </c>
    </row>
    <row r="8" spans="1:18" x14ac:dyDescent="0.25">
      <c r="A8" s="4">
        <v>6</v>
      </c>
      <c r="B8" s="2" t="s">
        <v>6</v>
      </c>
      <c r="C8" s="2" t="s">
        <v>8</v>
      </c>
      <c r="D8" s="2" t="s">
        <v>10</v>
      </c>
      <c r="E8" s="2" t="s">
        <v>12</v>
      </c>
      <c r="F8" s="2"/>
      <c r="G8" s="2"/>
      <c r="H8" s="2"/>
      <c r="I8" s="2"/>
      <c r="J8" s="2"/>
    </row>
    <row r="9" spans="1:18" x14ac:dyDescent="0.25">
      <c r="A9" s="4">
        <v>7</v>
      </c>
      <c r="B9" s="2" t="s">
        <v>6</v>
      </c>
      <c r="C9" s="2" t="s">
        <v>8</v>
      </c>
      <c r="D9" s="2" t="s">
        <v>10</v>
      </c>
      <c r="E9" s="2" t="s">
        <v>11</v>
      </c>
      <c r="F9" s="2"/>
      <c r="G9" s="2" t="s">
        <v>15</v>
      </c>
      <c r="H9" s="2"/>
      <c r="I9" s="2"/>
      <c r="J9" s="2"/>
    </row>
    <row r="10" spans="1:18" x14ac:dyDescent="0.25">
      <c r="A10" s="4">
        <v>8</v>
      </c>
      <c r="B10" s="2" t="s">
        <v>6</v>
      </c>
      <c r="C10" s="2" t="s">
        <v>8</v>
      </c>
      <c r="D10" s="2" t="s">
        <v>9</v>
      </c>
      <c r="E10" s="2" t="s">
        <v>12</v>
      </c>
      <c r="F10" s="2"/>
      <c r="G10" s="2" t="s">
        <v>16</v>
      </c>
      <c r="H10" s="2"/>
      <c r="I10" s="2"/>
      <c r="J10" s="2"/>
      <c r="M10" s="17" t="s">
        <v>33</v>
      </c>
      <c r="N10" s="17"/>
    </row>
    <row r="11" spans="1:18" x14ac:dyDescent="0.25">
      <c r="A11" s="4">
        <v>9</v>
      </c>
      <c r="B11" s="2" t="s">
        <v>5</v>
      </c>
      <c r="C11" s="2" t="s">
        <v>8</v>
      </c>
      <c r="D11" s="2" t="s">
        <v>10</v>
      </c>
      <c r="E11" s="2" t="s">
        <v>12</v>
      </c>
      <c r="F11" s="2"/>
      <c r="G11" s="2" t="s">
        <v>17</v>
      </c>
      <c r="H11" s="2"/>
      <c r="I11" s="2"/>
      <c r="J11" s="2"/>
    </row>
    <row r="12" spans="1:18" x14ac:dyDescent="0.25">
      <c r="A12" s="4">
        <v>10</v>
      </c>
      <c r="B12" s="2" t="s">
        <v>5</v>
      </c>
      <c r="C12" s="2" t="s">
        <v>7</v>
      </c>
      <c r="D12" s="2" t="s">
        <v>10</v>
      </c>
      <c r="E12" s="2" t="s">
        <v>11</v>
      </c>
      <c r="F12" s="2"/>
      <c r="G12" s="2"/>
      <c r="H12" s="2">
        <f>I3*L4*O3*R2</f>
        <v>2.4E-2</v>
      </c>
      <c r="I12" s="2"/>
      <c r="J12" s="2"/>
    </row>
    <row r="13" spans="1:18" x14ac:dyDescent="0.25">
      <c r="A13" s="18">
        <v>11</v>
      </c>
      <c r="B13" s="19" t="s">
        <v>5</v>
      </c>
      <c r="C13" s="19" t="s">
        <v>8</v>
      </c>
      <c r="D13" s="19" t="s">
        <v>9</v>
      </c>
      <c r="E13" s="19" t="s">
        <v>35</v>
      </c>
    </row>
    <row r="14" spans="1:18" x14ac:dyDescent="0.25">
      <c r="G14" s="17" t="s">
        <v>30</v>
      </c>
    </row>
    <row r="15" spans="1:18" x14ac:dyDescent="0.25">
      <c r="G15" s="7" t="s">
        <v>31</v>
      </c>
      <c r="M15" s="17" t="s">
        <v>33</v>
      </c>
      <c r="N15" s="17"/>
    </row>
    <row r="16" spans="1:18" x14ac:dyDescent="0.25">
      <c r="H16" s="2">
        <f>I6*L7*O6*0.5</f>
        <v>7.1999999999999995E-2</v>
      </c>
    </row>
    <row r="18" spans="3:5" x14ac:dyDescent="0.25">
      <c r="C18" s="16" t="s">
        <v>32</v>
      </c>
      <c r="D18" s="17"/>
      <c r="E18" t="s">
        <v>34</v>
      </c>
    </row>
  </sheetData>
  <mergeCells count="3">
    <mergeCell ref="G2:I2"/>
    <mergeCell ref="J2:L2"/>
    <mergeCell ref="M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7749-B8DA-48AA-A241-409CD78F5FE3}">
  <dimension ref="A1:V17"/>
  <sheetViews>
    <sheetView zoomScale="170" zoomScaleNormal="170" workbookViewId="0">
      <selection activeCell="J3" sqref="J3"/>
    </sheetView>
  </sheetViews>
  <sheetFormatPr defaultRowHeight="15" x14ac:dyDescent="0.25"/>
  <cols>
    <col min="1" max="1" width="6.85546875" style="5" bestFit="1" customWidth="1"/>
    <col min="2" max="2" width="7" bestFit="1" customWidth="1"/>
    <col min="4" max="4" width="9.28515625" bestFit="1" customWidth="1"/>
    <col min="5" max="5" width="9.140625" customWidth="1"/>
    <col min="6" max="6" width="3.7109375" customWidth="1"/>
    <col min="7" max="7" width="6.7109375" customWidth="1"/>
    <col min="8" max="8" width="4" bestFit="1" customWidth="1"/>
    <col min="9" max="9" width="13.7109375" bestFit="1" customWidth="1"/>
    <col min="10" max="10" width="6.42578125" customWidth="1"/>
    <col min="11" max="11" width="7" bestFit="1" customWidth="1"/>
    <col min="12" max="12" width="5" customWidth="1"/>
    <col min="13" max="13" width="14.140625" bestFit="1" customWidth="1"/>
    <col min="14" max="14" width="6.28515625" customWidth="1"/>
    <col min="15" max="15" width="12.140625" customWidth="1"/>
    <col min="16" max="16" width="5.28515625" customWidth="1"/>
    <col min="17" max="17" width="17.5703125" customWidth="1"/>
    <col min="18" max="18" width="7.28515625" customWidth="1"/>
    <col min="19" max="19" width="3.85546875" customWidth="1"/>
    <col min="21" max="21" width="5.140625" customWidth="1"/>
    <col min="22" max="22" width="4" customWidth="1"/>
  </cols>
  <sheetData>
    <row r="1" spans="1:22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  <c r="G1" s="42" t="s">
        <v>76</v>
      </c>
      <c r="H1" s="43"/>
      <c r="I1" s="43"/>
      <c r="J1" s="44"/>
      <c r="K1" s="45" t="s">
        <v>77</v>
      </c>
      <c r="L1" s="45"/>
      <c r="M1" s="45"/>
      <c r="N1" s="45"/>
      <c r="O1" s="46" t="s">
        <v>75</v>
      </c>
      <c r="P1" s="46"/>
      <c r="Q1" s="46"/>
      <c r="R1" s="46"/>
      <c r="S1" s="23"/>
    </row>
    <row r="2" spans="1:22" x14ac:dyDescent="0.25">
      <c r="A2" s="4">
        <v>1</v>
      </c>
      <c r="B2" s="2" t="s">
        <v>5</v>
      </c>
      <c r="C2" s="2" t="s">
        <v>7</v>
      </c>
      <c r="D2" s="2" t="s">
        <v>9</v>
      </c>
      <c r="E2" s="2" t="s">
        <v>11</v>
      </c>
      <c r="F2" s="2"/>
      <c r="G2" s="8" t="s">
        <v>5</v>
      </c>
      <c r="H2" s="8" t="s">
        <v>11</v>
      </c>
      <c r="I2" s="8" t="s">
        <v>18</v>
      </c>
      <c r="J2" s="20">
        <f>COUNTIFS($B$2:$B$11,G2,$E$2:$E$11,H2)/COUNTIF($E$2:$E$11,H2)</f>
        <v>0.6</v>
      </c>
      <c r="K2" s="9" t="s">
        <v>7</v>
      </c>
      <c r="L2" s="9" t="s">
        <v>11</v>
      </c>
      <c r="M2" s="9" t="s">
        <v>20</v>
      </c>
      <c r="N2" s="9">
        <f>COUNTIFS($C$2:$C$11,K2,$E$2:$E$11,L2)/COUNTIF($E$2:$E$11,L2)</f>
        <v>0.8</v>
      </c>
      <c r="O2" s="14" t="s">
        <v>9</v>
      </c>
      <c r="P2" s="14" t="s">
        <v>11</v>
      </c>
      <c r="Q2" s="14" t="s">
        <v>24</v>
      </c>
      <c r="R2" s="14">
        <f>COUNTIFS($D$2:$D$11,O2,$E$2:$E$11,P2)/COUNTIF($E$2:$E$11,P2)</f>
        <v>0.4</v>
      </c>
      <c r="S2" s="22"/>
      <c r="T2" s="24" t="s">
        <v>36</v>
      </c>
      <c r="U2" s="21" t="s">
        <v>11</v>
      </c>
      <c r="V2" s="21">
        <f>COUNTIF($E$2:$E$11,U2)/COUNTA(E2:E11)</f>
        <v>0.5</v>
      </c>
    </row>
    <row r="3" spans="1:22" x14ac:dyDescent="0.25">
      <c r="A3" s="4">
        <v>2</v>
      </c>
      <c r="B3" s="2" t="s">
        <v>5</v>
      </c>
      <c r="C3" s="2" t="s">
        <v>7</v>
      </c>
      <c r="D3" s="2" t="s">
        <v>9</v>
      </c>
      <c r="E3" s="2" t="s">
        <v>12</v>
      </c>
      <c r="F3" s="2"/>
      <c r="G3" s="8" t="s">
        <v>6</v>
      </c>
      <c r="H3" s="8" t="s">
        <v>11</v>
      </c>
      <c r="I3" s="8" t="s">
        <v>19</v>
      </c>
      <c r="J3" s="20">
        <f>COUNTIFS($B$2:$B$11,G3,$E$2:$E$11,H3)/COUNTIF($E$2:$E$11,H3)</f>
        <v>0.4</v>
      </c>
      <c r="K3" s="9" t="s">
        <v>8</v>
      </c>
      <c r="L3" s="9" t="s">
        <v>11</v>
      </c>
      <c r="M3" s="9" t="s">
        <v>23</v>
      </c>
      <c r="N3" s="9">
        <f>COUNTIFS($C$2:$C$11,K3,$E$2:$E$11,L3)/COUNTIF($E$2:$E$11,L3)</f>
        <v>0.2</v>
      </c>
      <c r="O3" s="14" t="s">
        <v>10</v>
      </c>
      <c r="P3" s="14" t="s">
        <v>11</v>
      </c>
      <c r="Q3" s="14" t="s">
        <v>25</v>
      </c>
      <c r="R3" s="14">
        <f>COUNTIFS($D$2:$D$11,O3,$E$2:$E$11,P3)/COUNTIF($E$2:$E$11,P3)</f>
        <v>0.6</v>
      </c>
      <c r="S3" s="22"/>
      <c r="T3" s="24" t="s">
        <v>14</v>
      </c>
      <c r="U3" s="21" t="s">
        <v>12</v>
      </c>
      <c r="V3" s="21">
        <f>COUNTIF($E$2:$E$11,U3)/COUNTA(E3:E12)</f>
        <v>0.5</v>
      </c>
    </row>
    <row r="4" spans="1:22" x14ac:dyDescent="0.25">
      <c r="A4" s="4">
        <v>3</v>
      </c>
      <c r="B4" s="2" t="s">
        <v>5</v>
      </c>
      <c r="C4" s="2" t="s">
        <v>7</v>
      </c>
      <c r="D4" s="2" t="s">
        <v>9</v>
      </c>
      <c r="E4" s="2" t="s">
        <v>11</v>
      </c>
      <c r="F4" s="2"/>
      <c r="G4" s="8"/>
      <c r="H4" s="8"/>
      <c r="I4" s="8"/>
      <c r="J4" s="20"/>
      <c r="K4" s="11"/>
      <c r="L4" s="12"/>
      <c r="M4" s="12"/>
      <c r="N4" s="9"/>
      <c r="O4" s="15"/>
      <c r="P4" s="15"/>
      <c r="Q4" s="15"/>
      <c r="R4" s="14"/>
      <c r="S4" s="15"/>
    </row>
    <row r="5" spans="1:22" x14ac:dyDescent="0.25">
      <c r="A5" s="4">
        <v>4</v>
      </c>
      <c r="B5" s="2" t="s">
        <v>6</v>
      </c>
      <c r="C5" s="2" t="s">
        <v>7</v>
      </c>
      <c r="D5" s="2" t="s">
        <v>9</v>
      </c>
      <c r="E5" s="2" t="s">
        <v>12</v>
      </c>
      <c r="F5" s="2"/>
      <c r="G5" s="8" t="s">
        <v>5</v>
      </c>
      <c r="H5" s="8" t="s">
        <v>12</v>
      </c>
      <c r="I5" s="8" t="s">
        <v>26</v>
      </c>
      <c r="J5" s="20">
        <f>COUNTIFS($B$2:$B$11,G5,$E$2:$E$11,H5)/COUNTIF($E$2:$E$11,H5)</f>
        <v>0.4</v>
      </c>
      <c r="K5" s="9" t="s">
        <v>7</v>
      </c>
      <c r="L5" s="9" t="s">
        <v>12</v>
      </c>
      <c r="M5" s="9" t="s">
        <v>21</v>
      </c>
      <c r="N5" s="9">
        <f>COUNTIFS($C$2:$C$11,K5,$E$2:$E$11,L5)/COUNTIF($E$2:$E$11,L5)</f>
        <v>0.4</v>
      </c>
      <c r="O5" s="14" t="s">
        <v>9</v>
      </c>
      <c r="P5" s="14" t="s">
        <v>12</v>
      </c>
      <c r="Q5" s="14" t="s">
        <v>28</v>
      </c>
      <c r="R5" s="14">
        <f>COUNTIFS($D$2:$D$11,O5,$E$2:$E$11,P5)/COUNTIF($E$2:$E$11,P5)</f>
        <v>0.6</v>
      </c>
      <c r="S5" s="15"/>
    </row>
    <row r="6" spans="1:22" x14ac:dyDescent="0.25">
      <c r="A6" s="4">
        <v>5</v>
      </c>
      <c r="B6" s="2" t="s">
        <v>6</v>
      </c>
      <c r="C6" s="2" t="s">
        <v>7</v>
      </c>
      <c r="D6" s="2" t="s">
        <v>10</v>
      </c>
      <c r="E6" s="2" t="s">
        <v>11</v>
      </c>
      <c r="F6" s="2"/>
      <c r="G6" s="8" t="s">
        <v>6</v>
      </c>
      <c r="H6" s="8" t="s">
        <v>12</v>
      </c>
      <c r="I6" s="8" t="s">
        <v>27</v>
      </c>
      <c r="J6" s="20">
        <f>COUNTIFS($B$2:$B$11,G6,$E$2:$E$11,H6)/COUNTIF($E$2:$E$11,H6)</f>
        <v>0.6</v>
      </c>
      <c r="K6" s="9" t="s">
        <v>8</v>
      </c>
      <c r="L6" s="9" t="s">
        <v>12</v>
      </c>
      <c r="M6" s="9" t="s">
        <v>22</v>
      </c>
      <c r="N6" s="9">
        <f>COUNTIFS($C$2:$C$11,K6,$E$2:$E$11,L6)/COUNTIF($E$2:$E$11,L6)</f>
        <v>0.6</v>
      </c>
      <c r="O6" s="14" t="s">
        <v>10</v>
      </c>
      <c r="P6" s="14" t="s">
        <v>12</v>
      </c>
      <c r="Q6" s="14" t="s">
        <v>29</v>
      </c>
      <c r="R6" s="14">
        <f>COUNTIFS($D$2:$D$11,O6,$E$2:$E$11,P6)/COUNTIF($E$2:$E$11,P6)</f>
        <v>0.4</v>
      </c>
      <c r="S6" s="15"/>
    </row>
    <row r="7" spans="1:22" x14ac:dyDescent="0.25">
      <c r="A7" s="4">
        <v>6</v>
      </c>
      <c r="B7" s="2" t="s">
        <v>6</v>
      </c>
      <c r="C7" s="2" t="s">
        <v>8</v>
      </c>
      <c r="D7" s="2" t="s">
        <v>10</v>
      </c>
      <c r="E7" s="2" t="s">
        <v>12</v>
      </c>
      <c r="F7" s="2"/>
      <c r="G7" s="2"/>
      <c r="H7" s="2"/>
      <c r="I7" s="2"/>
      <c r="J7" s="2"/>
      <c r="K7" s="2"/>
    </row>
    <row r="8" spans="1:22" x14ac:dyDescent="0.25">
      <c r="A8" s="4">
        <v>7</v>
      </c>
      <c r="B8" s="2" t="s">
        <v>6</v>
      </c>
      <c r="C8" s="2" t="s">
        <v>8</v>
      </c>
      <c r="D8" s="2" t="s">
        <v>10</v>
      </c>
      <c r="E8" s="2" t="s">
        <v>11</v>
      </c>
      <c r="F8" s="2"/>
      <c r="G8" s="2" t="s">
        <v>15</v>
      </c>
      <c r="H8" s="2"/>
      <c r="I8" s="2"/>
      <c r="J8" s="2"/>
      <c r="K8" s="2"/>
    </row>
    <row r="9" spans="1:22" x14ac:dyDescent="0.25">
      <c r="A9" s="4">
        <v>8</v>
      </c>
      <c r="B9" s="2" t="s">
        <v>6</v>
      </c>
      <c r="C9" s="2" t="s">
        <v>8</v>
      </c>
      <c r="D9" s="2" t="s">
        <v>9</v>
      </c>
      <c r="E9" s="2" t="s">
        <v>12</v>
      </c>
      <c r="F9" s="2"/>
      <c r="G9" s="2" t="s">
        <v>16</v>
      </c>
      <c r="H9" s="2"/>
      <c r="I9" s="2"/>
      <c r="J9" s="2"/>
      <c r="K9" s="2"/>
      <c r="O9" s="17" t="s">
        <v>33</v>
      </c>
      <c r="P9" s="17"/>
      <c r="Q9" s="17"/>
    </row>
    <row r="10" spans="1:22" x14ac:dyDescent="0.25">
      <c r="A10" s="4">
        <v>9</v>
      </c>
      <c r="B10" s="2" t="s">
        <v>5</v>
      </c>
      <c r="C10" s="2" t="s">
        <v>8</v>
      </c>
      <c r="D10" s="2" t="s">
        <v>10</v>
      </c>
      <c r="E10" s="2" t="s">
        <v>12</v>
      </c>
      <c r="F10" s="2"/>
      <c r="G10" s="2" t="s">
        <v>17</v>
      </c>
      <c r="H10" s="2"/>
      <c r="I10" s="2"/>
      <c r="J10" s="2"/>
      <c r="K10" s="2"/>
    </row>
    <row r="11" spans="1:22" x14ac:dyDescent="0.25">
      <c r="A11" s="4">
        <v>10</v>
      </c>
      <c r="B11" s="2" t="s">
        <v>5</v>
      </c>
      <c r="C11" s="2" t="s">
        <v>7</v>
      </c>
      <c r="D11" s="2" t="s">
        <v>10</v>
      </c>
      <c r="E11" s="2" t="s">
        <v>11</v>
      </c>
      <c r="F11" s="2"/>
      <c r="G11" s="2"/>
      <c r="H11" s="2"/>
      <c r="I11" s="2">
        <f>J2*N3*R2*V2</f>
        <v>2.4E-2</v>
      </c>
      <c r="J11" s="2"/>
      <c r="K11" s="2"/>
    </row>
    <row r="12" spans="1:22" x14ac:dyDescent="0.25">
      <c r="A12" s="18">
        <v>11</v>
      </c>
      <c r="B12" s="19" t="s">
        <v>5</v>
      </c>
      <c r="C12" s="19" t="s">
        <v>8</v>
      </c>
      <c r="D12" s="19" t="s">
        <v>9</v>
      </c>
      <c r="E12" s="19" t="s">
        <v>35</v>
      </c>
    </row>
    <row r="13" spans="1:22" x14ac:dyDescent="0.25">
      <c r="G13" s="17" t="s">
        <v>30</v>
      </c>
      <c r="H13" s="17"/>
    </row>
    <row r="14" spans="1:22" x14ac:dyDescent="0.25">
      <c r="G14" s="7" t="s">
        <v>31</v>
      </c>
      <c r="H14" s="7"/>
      <c r="O14" s="17" t="s">
        <v>33</v>
      </c>
      <c r="P14" s="17"/>
      <c r="Q14" s="17"/>
    </row>
    <row r="15" spans="1:22" x14ac:dyDescent="0.25">
      <c r="I15">
        <f>J5*N6*R5*V3</f>
        <v>7.1999999999999995E-2</v>
      </c>
    </row>
    <row r="17" spans="5:7" x14ac:dyDescent="0.25">
      <c r="E17" s="16" t="s">
        <v>32</v>
      </c>
      <c r="F17" s="17"/>
      <c r="G17" t="s">
        <v>34</v>
      </c>
    </row>
  </sheetData>
  <mergeCells count="3">
    <mergeCell ref="G1:J1"/>
    <mergeCell ref="K1:N1"/>
    <mergeCell ref="O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2D02-22A1-44E5-9F21-CE1122857BED}">
  <dimension ref="A1:V31"/>
  <sheetViews>
    <sheetView topLeftCell="D4" zoomScale="170" zoomScaleNormal="170" workbookViewId="0">
      <selection activeCell="I12" sqref="I12"/>
    </sheetView>
  </sheetViews>
  <sheetFormatPr defaultRowHeight="15" x14ac:dyDescent="0.25"/>
  <cols>
    <col min="1" max="1" width="6.85546875" style="5" bestFit="1" customWidth="1"/>
    <col min="2" max="2" width="7" bestFit="1" customWidth="1"/>
    <col min="4" max="4" width="9.28515625" bestFit="1" customWidth="1"/>
    <col min="5" max="5" width="9.140625" customWidth="1"/>
    <col min="6" max="6" width="2" customWidth="1"/>
    <col min="7" max="7" width="6.7109375" customWidth="1"/>
    <col min="8" max="8" width="4" bestFit="1" customWidth="1"/>
    <col min="9" max="9" width="13.7109375" bestFit="1" customWidth="1"/>
    <col min="10" max="10" width="6.42578125" customWidth="1"/>
    <col min="11" max="11" width="7" bestFit="1" customWidth="1"/>
    <col min="12" max="12" width="11" customWidth="1"/>
    <col min="13" max="13" width="14.140625" bestFit="1" customWidth="1"/>
    <col min="14" max="14" width="6.28515625" customWidth="1"/>
    <col min="15" max="15" width="12.28515625" customWidth="1"/>
    <col min="16" max="16" width="5.28515625" customWidth="1"/>
    <col min="17" max="17" width="17.5703125" customWidth="1"/>
    <col min="18" max="18" width="7.28515625" customWidth="1"/>
    <col min="19" max="19" width="3.85546875" customWidth="1"/>
    <col min="21" max="21" width="5.140625" customWidth="1"/>
    <col min="22" max="22" width="4" customWidth="1"/>
  </cols>
  <sheetData>
    <row r="1" spans="1:22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  <c r="G1" s="42" t="s">
        <v>76</v>
      </c>
      <c r="H1" s="43"/>
      <c r="I1" s="43"/>
      <c r="J1" s="44"/>
      <c r="K1" s="45" t="s">
        <v>78</v>
      </c>
      <c r="L1" s="45"/>
      <c r="M1" s="45"/>
      <c r="N1" s="45"/>
      <c r="O1" s="46" t="s">
        <v>75</v>
      </c>
      <c r="P1" s="46"/>
      <c r="Q1" s="46"/>
      <c r="R1" s="46"/>
      <c r="S1" s="23"/>
    </row>
    <row r="2" spans="1:22" x14ac:dyDescent="0.25">
      <c r="A2" s="4">
        <v>1</v>
      </c>
      <c r="B2" s="2" t="s">
        <v>5</v>
      </c>
      <c r="C2" s="2" t="s">
        <v>7</v>
      </c>
      <c r="D2" s="2" t="s">
        <v>9</v>
      </c>
      <c r="E2" s="2" t="s">
        <v>12</v>
      </c>
      <c r="F2" s="2"/>
      <c r="G2" s="8" t="s">
        <v>5</v>
      </c>
      <c r="H2" s="8" t="s">
        <v>11</v>
      </c>
      <c r="I2" s="8" t="s">
        <v>18</v>
      </c>
      <c r="J2" s="20">
        <f>COUNTIFS($B$2:$B$11,G2,$E$2:$E$11,H2)/COUNTIF($E$2:$E$11,H2)</f>
        <v>0.25</v>
      </c>
      <c r="K2" s="9" t="s">
        <v>7</v>
      </c>
      <c r="L2" s="9" t="s">
        <v>11</v>
      </c>
      <c r="M2" s="9" t="s">
        <v>20</v>
      </c>
      <c r="N2" s="9">
        <f>COUNTIFS($C$2:$C$11,K2,$E$2:$E$11,L2)/COUNTIF($E$2:$E$11,L2)</f>
        <v>0.5</v>
      </c>
      <c r="O2" s="14" t="s">
        <v>9</v>
      </c>
      <c r="P2" s="14" t="s">
        <v>11</v>
      </c>
      <c r="Q2" s="14" t="s">
        <v>24</v>
      </c>
      <c r="R2" s="14">
        <f>COUNTIFS($D$2:$D$11,O2,$E$2:$E$11,P2)/COUNTIF($E$2:$E$11,P2)</f>
        <v>0.25</v>
      </c>
      <c r="S2" s="22"/>
      <c r="T2" s="24" t="s">
        <v>36</v>
      </c>
      <c r="U2" s="21" t="s">
        <v>11</v>
      </c>
      <c r="V2" s="21">
        <f>COUNTIF($E$2:$E$11,U2)/COUNTA($E$2:$E$11)</f>
        <v>0.4</v>
      </c>
    </row>
    <row r="3" spans="1:22" x14ac:dyDescent="0.25">
      <c r="A3" s="4">
        <v>2</v>
      </c>
      <c r="B3" s="2" t="s">
        <v>5</v>
      </c>
      <c r="C3" s="2" t="s">
        <v>7</v>
      </c>
      <c r="D3" s="2" t="s">
        <v>9</v>
      </c>
      <c r="E3" s="2" t="s">
        <v>12</v>
      </c>
      <c r="F3" s="2"/>
      <c r="G3" s="8" t="s">
        <v>6</v>
      </c>
      <c r="H3" s="8" t="s">
        <v>11</v>
      </c>
      <c r="I3" s="8" t="s">
        <v>19</v>
      </c>
      <c r="J3" s="20">
        <f>COUNTIFS($B$2:$B$11,G3,$E$2:$E$11,H3)/COUNTIF($E$2:$E$11,H3)</f>
        <v>0.75</v>
      </c>
      <c r="K3" s="9" t="s">
        <v>8</v>
      </c>
      <c r="L3" s="9" t="s">
        <v>11</v>
      </c>
      <c r="M3" s="9" t="s">
        <v>23</v>
      </c>
      <c r="N3" s="9">
        <f>COUNTIFS($C$2:$C$11,K3,$E$2:$E$11,L3)/COUNTIF($E$2:$E$11,L3)</f>
        <v>0.5</v>
      </c>
      <c r="O3" s="14" t="s">
        <v>10</v>
      </c>
      <c r="P3" s="14" t="s">
        <v>11</v>
      </c>
      <c r="Q3" s="14" t="s">
        <v>25</v>
      </c>
      <c r="R3" s="14">
        <f>COUNTIFS($D$2:$D$11,O3,$E$2:$E$11,P3)/COUNTIF($E$2:$E$11,P3)</f>
        <v>0.75</v>
      </c>
      <c r="S3" s="22"/>
      <c r="T3" s="24" t="s">
        <v>14</v>
      </c>
      <c r="U3" s="21" t="s">
        <v>12</v>
      </c>
      <c r="V3" s="21">
        <f>COUNTIF($E$2:$E$11,U3)/COUNTA($E$2:$E$11)</f>
        <v>0.6</v>
      </c>
    </row>
    <row r="4" spans="1:22" x14ac:dyDescent="0.25">
      <c r="A4" s="4">
        <v>3</v>
      </c>
      <c r="B4" s="2" t="s">
        <v>5</v>
      </c>
      <c r="C4" s="2" t="s">
        <v>7</v>
      </c>
      <c r="D4" s="2" t="s">
        <v>9</v>
      </c>
      <c r="E4" s="2" t="s">
        <v>12</v>
      </c>
      <c r="F4" s="2"/>
      <c r="G4" s="8"/>
      <c r="H4" s="8"/>
      <c r="I4" s="8"/>
      <c r="J4" s="20"/>
      <c r="K4" s="11"/>
      <c r="L4" s="12"/>
      <c r="M4" s="12"/>
      <c r="N4" s="9"/>
      <c r="O4" s="15"/>
      <c r="P4" s="15"/>
      <c r="Q4" s="15"/>
      <c r="R4" s="14"/>
      <c r="S4" s="15"/>
    </row>
    <row r="5" spans="1:22" x14ac:dyDescent="0.25">
      <c r="A5" s="4">
        <v>4</v>
      </c>
      <c r="B5" s="2" t="s">
        <v>6</v>
      </c>
      <c r="C5" s="2" t="s">
        <v>7</v>
      </c>
      <c r="D5" s="2" t="s">
        <v>9</v>
      </c>
      <c r="E5" s="2" t="s">
        <v>12</v>
      </c>
      <c r="F5" s="2"/>
      <c r="G5" s="8" t="s">
        <v>5</v>
      </c>
      <c r="H5" s="8" t="s">
        <v>12</v>
      </c>
      <c r="I5" s="8" t="s">
        <v>26</v>
      </c>
      <c r="J5" s="20">
        <f>COUNTIFS($B$2:$B$11,G5,$E$2:$E$11,H5)/COUNTIF($E$2:$E$11,H5)</f>
        <v>0.66666666666666663</v>
      </c>
      <c r="K5" s="9" t="s">
        <v>7</v>
      </c>
      <c r="L5" s="9" t="s">
        <v>12</v>
      </c>
      <c r="M5" s="9" t="s">
        <v>21</v>
      </c>
      <c r="N5" s="9">
        <f>COUNTIFS($C$2:$C$11,K5,$E$2:$E$11,L5)/COUNTIF($E$2:$E$11,L5)</f>
        <v>0.66666666666666663</v>
      </c>
      <c r="O5" s="14" t="s">
        <v>9</v>
      </c>
      <c r="P5" s="14" t="s">
        <v>12</v>
      </c>
      <c r="Q5" s="14" t="s">
        <v>28</v>
      </c>
      <c r="R5" s="14">
        <f>COUNTIFS($D$2:$D$11,O5,$E$2:$E$11,P5)/COUNTIF($E$2:$E$11,P5)</f>
        <v>0.66666666666666663</v>
      </c>
      <c r="S5" s="15"/>
    </row>
    <row r="6" spans="1:22" x14ac:dyDescent="0.25">
      <c r="A6" s="4">
        <v>5</v>
      </c>
      <c r="B6" s="2" t="s">
        <v>6</v>
      </c>
      <c r="C6" s="2" t="s">
        <v>7</v>
      </c>
      <c r="D6" s="2" t="s">
        <v>10</v>
      </c>
      <c r="E6" s="2" t="s">
        <v>11</v>
      </c>
      <c r="F6" s="2"/>
      <c r="G6" s="8" t="s">
        <v>6</v>
      </c>
      <c r="H6" s="8" t="s">
        <v>12</v>
      </c>
      <c r="I6" s="8" t="s">
        <v>27</v>
      </c>
      <c r="J6" s="20">
        <f>COUNTIFS($B$2:$B$11,G6,$E$2:$E$11,H6)/COUNTIF($E$2:$E$11,H6)</f>
        <v>0.33333333333333331</v>
      </c>
      <c r="K6" s="9" t="s">
        <v>8</v>
      </c>
      <c r="L6" s="9" t="s">
        <v>12</v>
      </c>
      <c r="M6" s="9" t="s">
        <v>22</v>
      </c>
      <c r="N6" s="9">
        <f>COUNTIFS($C$2:$C$11,K6,$E$2:$E$11,L6)/COUNTIF($E$2:$E$11,L6)</f>
        <v>0.33333333333333331</v>
      </c>
      <c r="O6" s="14" t="s">
        <v>10</v>
      </c>
      <c r="P6" s="14" t="s">
        <v>12</v>
      </c>
      <c r="Q6" s="14" t="s">
        <v>29</v>
      </c>
      <c r="R6" s="14">
        <f>COUNTIFS($D$2:$D$11,O6,$E$2:$E$11,P6)/COUNTIF($E$2:$E$11,P6)</f>
        <v>0.33333333333333331</v>
      </c>
      <c r="S6" s="15"/>
    </row>
    <row r="7" spans="1:22" x14ac:dyDescent="0.25">
      <c r="A7" s="4">
        <v>6</v>
      </c>
      <c r="B7" s="2" t="s">
        <v>6</v>
      </c>
      <c r="C7" s="2" t="s">
        <v>8</v>
      </c>
      <c r="D7" s="2" t="s">
        <v>10</v>
      </c>
      <c r="E7" s="2" t="s">
        <v>12</v>
      </c>
      <c r="F7" s="2"/>
      <c r="G7" s="2"/>
      <c r="H7" s="2"/>
      <c r="I7" s="2"/>
      <c r="J7" s="2"/>
      <c r="K7" s="2"/>
    </row>
    <row r="8" spans="1:22" x14ac:dyDescent="0.25">
      <c r="A8" s="4">
        <v>7</v>
      </c>
      <c r="B8" s="2" t="s">
        <v>6</v>
      </c>
      <c r="C8" s="2" t="s">
        <v>8</v>
      </c>
      <c r="D8" s="2" t="s">
        <v>10</v>
      </c>
      <c r="E8" s="2" t="s">
        <v>11</v>
      </c>
      <c r="F8" s="2"/>
      <c r="G8" s="2" t="s">
        <v>15</v>
      </c>
      <c r="H8" s="2"/>
      <c r="I8" s="2"/>
      <c r="J8" s="2"/>
      <c r="K8" s="2"/>
    </row>
    <row r="9" spans="1:22" x14ac:dyDescent="0.25">
      <c r="A9" s="4">
        <v>8</v>
      </c>
      <c r="B9" s="2" t="s">
        <v>6</v>
      </c>
      <c r="C9" s="2" t="s">
        <v>8</v>
      </c>
      <c r="D9" s="2" t="s">
        <v>9</v>
      </c>
      <c r="E9" s="2" t="s">
        <v>11</v>
      </c>
      <c r="F9" s="2"/>
      <c r="G9" s="2" t="s">
        <v>37</v>
      </c>
      <c r="H9" s="2"/>
      <c r="I9" s="2"/>
      <c r="J9" s="2"/>
      <c r="K9" s="2"/>
      <c r="O9" s="17" t="s">
        <v>33</v>
      </c>
      <c r="P9" s="17"/>
      <c r="Q9" s="17"/>
    </row>
    <row r="10" spans="1:22" x14ac:dyDescent="0.25">
      <c r="A10" s="4">
        <v>9</v>
      </c>
      <c r="B10" s="2" t="s">
        <v>5</v>
      </c>
      <c r="C10" s="2" t="s">
        <v>8</v>
      </c>
      <c r="D10" s="2" t="s">
        <v>10</v>
      </c>
      <c r="E10" s="2" t="s">
        <v>12</v>
      </c>
      <c r="F10" s="2"/>
      <c r="G10" s="2" t="s">
        <v>17</v>
      </c>
      <c r="H10" s="2"/>
      <c r="I10" s="2"/>
      <c r="J10" s="2"/>
      <c r="K10" s="2"/>
    </row>
    <row r="11" spans="1:22" x14ac:dyDescent="0.25">
      <c r="A11" s="4">
        <v>10</v>
      </c>
      <c r="B11" s="2" t="s">
        <v>5</v>
      </c>
      <c r="C11" s="2" t="s">
        <v>7</v>
      </c>
      <c r="D11" s="2" t="s">
        <v>10</v>
      </c>
      <c r="E11" s="2" t="s">
        <v>11</v>
      </c>
      <c r="F11" s="2"/>
      <c r="G11" s="2"/>
      <c r="H11" s="2"/>
      <c r="I11" s="25">
        <f>J3*N2*R3*V2</f>
        <v>0.1125</v>
      </c>
      <c r="J11" s="2"/>
      <c r="K11" s="1">
        <f>I11/I16</f>
        <v>0.7168141592920354</v>
      </c>
      <c r="L11" s="27" t="s">
        <v>80</v>
      </c>
      <c r="M11">
        <f>K11+K15</f>
        <v>1</v>
      </c>
    </row>
    <row r="12" spans="1:22" x14ac:dyDescent="0.25">
      <c r="A12" s="18">
        <v>11</v>
      </c>
      <c r="B12" s="19" t="s">
        <v>6</v>
      </c>
      <c r="C12" s="19" t="s">
        <v>7</v>
      </c>
      <c r="D12" s="19" t="s">
        <v>10</v>
      </c>
      <c r="E12" s="19" t="s">
        <v>35</v>
      </c>
    </row>
    <row r="13" spans="1:22" x14ac:dyDescent="0.25">
      <c r="G13" s="17" t="s">
        <v>30</v>
      </c>
      <c r="H13" s="17"/>
    </row>
    <row r="14" spans="1:22" x14ac:dyDescent="0.25">
      <c r="G14" s="7" t="s">
        <v>38</v>
      </c>
      <c r="H14" s="7"/>
      <c r="O14" s="17" t="s">
        <v>33</v>
      </c>
      <c r="P14" s="17"/>
      <c r="Q14" s="17"/>
    </row>
    <row r="15" spans="1:22" x14ac:dyDescent="0.25">
      <c r="I15" s="26">
        <f>J6*N5*R6*V3</f>
        <v>4.4444444444444439E-2</v>
      </c>
      <c r="K15" s="27">
        <f>I15/I16</f>
        <v>0.2831858407079646</v>
      </c>
      <c r="L15" s="27" t="s">
        <v>80</v>
      </c>
    </row>
    <row r="16" spans="1:22" x14ac:dyDescent="0.25">
      <c r="I16" s="26">
        <f>I11+I15</f>
        <v>0.15694444444444444</v>
      </c>
      <c r="J16" t="s">
        <v>79</v>
      </c>
    </row>
    <row r="17" spans="5:12" x14ac:dyDescent="0.25">
      <c r="E17" s="16" t="s">
        <v>32</v>
      </c>
      <c r="F17" s="17"/>
      <c r="G17" t="s">
        <v>39</v>
      </c>
    </row>
    <row r="19" spans="5:12" x14ac:dyDescent="0.25">
      <c r="I19" t="s">
        <v>81</v>
      </c>
    </row>
    <row r="21" spans="5:12" x14ac:dyDescent="0.25">
      <c r="E21" t="s">
        <v>82</v>
      </c>
      <c r="I21" s="25">
        <f>LOG(J3)+LOG(N2)+LOG(R3)+LOG(V2)+LOG(1)</f>
        <v>-0.94884747755261867</v>
      </c>
      <c r="K21">
        <f>I21/I23*100</f>
        <v>41.235771777882491</v>
      </c>
    </row>
    <row r="22" spans="5:12" x14ac:dyDescent="0.25">
      <c r="E22" t="s">
        <v>83</v>
      </c>
      <c r="I22">
        <f>LOG(J6)+LOG(N5)+LOG(R6)+LOG(V3)+LOG(1)</f>
        <v>-1.3521825181113625</v>
      </c>
      <c r="K22">
        <f>I22/I23*100</f>
        <v>58.764228222117509</v>
      </c>
    </row>
    <row r="23" spans="5:12" x14ac:dyDescent="0.25">
      <c r="I23" s="26">
        <f>I21+I22</f>
        <v>-2.3010299956639813</v>
      </c>
      <c r="K23">
        <f>K21+K22</f>
        <v>100</v>
      </c>
    </row>
    <row r="28" spans="5:12" x14ac:dyDescent="0.25">
      <c r="J28" s="21"/>
      <c r="K28" s="21"/>
      <c r="L28" s="21"/>
    </row>
    <row r="29" spans="5:12" x14ac:dyDescent="0.25">
      <c r="J29" s="21"/>
      <c r="K29" s="21"/>
      <c r="L29" s="21"/>
    </row>
    <row r="30" spans="5:12" x14ac:dyDescent="0.25">
      <c r="J30" s="21"/>
      <c r="K30" s="21"/>
      <c r="L30" s="21"/>
    </row>
    <row r="31" spans="5:12" x14ac:dyDescent="0.25">
      <c r="J31" s="21"/>
      <c r="K31" s="21"/>
      <c r="L31" s="21"/>
    </row>
  </sheetData>
  <sortState xmlns:xlrd2="http://schemas.microsoft.com/office/spreadsheetml/2017/richdata2" ref="K25:K27">
    <sortCondition ref="K25:K27"/>
  </sortState>
  <mergeCells count="3">
    <mergeCell ref="G1:J1"/>
    <mergeCell ref="K1:N1"/>
    <mergeCell ref="O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84DF-5A2E-408B-B2E4-69A4A2CA2DA8}">
  <dimension ref="A1:V31"/>
  <sheetViews>
    <sheetView topLeftCell="A10" zoomScale="175" zoomScaleNormal="175" workbookViewId="0">
      <selection activeCell="O11" sqref="O11"/>
    </sheetView>
  </sheetViews>
  <sheetFormatPr defaultRowHeight="15" x14ac:dyDescent="0.25"/>
  <cols>
    <col min="1" max="1" width="4.7109375" style="5" customWidth="1"/>
    <col min="2" max="2" width="7" bestFit="1" customWidth="1"/>
    <col min="4" max="4" width="9.28515625" bestFit="1" customWidth="1"/>
    <col min="5" max="5" width="9.140625" customWidth="1"/>
    <col min="6" max="6" width="2" customWidth="1"/>
    <col min="7" max="7" width="6.7109375" customWidth="1"/>
    <col min="8" max="8" width="4" customWidth="1"/>
    <col min="9" max="9" width="13.7109375" customWidth="1"/>
    <col min="10" max="10" width="6.42578125" customWidth="1"/>
    <col min="11" max="11" width="7" customWidth="1"/>
    <col min="12" max="12" width="8.140625" customWidth="1"/>
    <col min="13" max="13" width="14.140625" customWidth="1"/>
    <col min="14" max="14" width="6.28515625" customWidth="1"/>
    <col min="15" max="15" width="12.28515625" customWidth="1"/>
    <col min="16" max="16" width="5.28515625" customWidth="1"/>
    <col min="17" max="17" width="17.5703125" customWidth="1"/>
    <col min="18" max="18" width="7.28515625" customWidth="1"/>
    <col min="19" max="19" width="3.85546875" customWidth="1"/>
    <col min="21" max="21" width="5.140625" customWidth="1"/>
    <col min="22" max="22" width="5.42578125" customWidth="1"/>
  </cols>
  <sheetData>
    <row r="1" spans="1:22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  <c r="G1" s="42" t="s">
        <v>76</v>
      </c>
      <c r="H1" s="43"/>
      <c r="I1" s="43"/>
      <c r="J1" s="44"/>
      <c r="K1" s="45" t="s">
        <v>78</v>
      </c>
      <c r="L1" s="45"/>
      <c r="M1" s="45"/>
      <c r="N1" s="45"/>
      <c r="O1" s="46" t="s">
        <v>75</v>
      </c>
      <c r="P1" s="46"/>
      <c r="Q1" s="46"/>
      <c r="R1" s="46"/>
      <c r="S1" s="23"/>
    </row>
    <row r="2" spans="1:22" x14ac:dyDescent="0.25">
      <c r="A2" s="4">
        <v>1</v>
      </c>
      <c r="B2" s="2" t="s">
        <v>5</v>
      </c>
      <c r="C2" s="2" t="s">
        <v>7</v>
      </c>
      <c r="D2" s="2" t="s">
        <v>9</v>
      </c>
      <c r="E2" s="2" t="s">
        <v>12</v>
      </c>
      <c r="F2" s="2"/>
      <c r="G2" s="8" t="s">
        <v>5</v>
      </c>
      <c r="H2" s="8" t="s">
        <v>11</v>
      </c>
      <c r="I2" s="8" t="s">
        <v>18</v>
      </c>
      <c r="J2" s="20">
        <f>(1+1)/(4+2)</f>
        <v>0.33333333333333331</v>
      </c>
      <c r="K2" s="9" t="s">
        <v>7</v>
      </c>
      <c r="L2" s="9" t="s">
        <v>11</v>
      </c>
      <c r="M2" s="9" t="s">
        <v>20</v>
      </c>
      <c r="N2" s="9">
        <f>(2+1)/(4+2)</f>
        <v>0.5</v>
      </c>
      <c r="O2" s="14" t="s">
        <v>9</v>
      </c>
      <c r="P2" s="14" t="s">
        <v>11</v>
      </c>
      <c r="Q2" s="14" t="s">
        <v>24</v>
      </c>
      <c r="R2" s="14">
        <f>(1+1)/(4+2)</f>
        <v>0.33333333333333331</v>
      </c>
      <c r="S2" s="22"/>
      <c r="T2" s="24" t="s">
        <v>36</v>
      </c>
      <c r="U2" s="21" t="s">
        <v>11</v>
      </c>
      <c r="V2" s="21">
        <f>4/10</f>
        <v>0.4</v>
      </c>
    </row>
    <row r="3" spans="1:22" x14ac:dyDescent="0.25">
      <c r="A3" s="4">
        <v>2</v>
      </c>
      <c r="B3" s="2" t="s">
        <v>5</v>
      </c>
      <c r="C3" s="2" t="s">
        <v>7</v>
      </c>
      <c r="D3" s="2" t="s">
        <v>9</v>
      </c>
      <c r="E3" s="2" t="s">
        <v>12</v>
      </c>
      <c r="F3" s="2"/>
      <c r="G3" s="8" t="s">
        <v>6</v>
      </c>
      <c r="H3" s="8" t="s">
        <v>11</v>
      </c>
      <c r="I3" s="8" t="s">
        <v>19</v>
      </c>
      <c r="J3" s="20">
        <f>(3+1)/(4+2)</f>
        <v>0.66666666666666663</v>
      </c>
      <c r="K3" s="9" t="s">
        <v>8</v>
      </c>
      <c r="L3" s="9" t="s">
        <v>11</v>
      </c>
      <c r="M3" s="9" t="s">
        <v>23</v>
      </c>
      <c r="N3" s="9">
        <f>(2+1)/(4+2)</f>
        <v>0.5</v>
      </c>
      <c r="O3" s="14" t="s">
        <v>10</v>
      </c>
      <c r="P3" s="14" t="s">
        <v>11</v>
      </c>
      <c r="Q3" s="14" t="s">
        <v>25</v>
      </c>
      <c r="R3" s="14">
        <f>(3+1)/(4+2)</f>
        <v>0.66666666666666663</v>
      </c>
      <c r="S3" s="22"/>
      <c r="T3" s="24" t="s">
        <v>14</v>
      </c>
      <c r="U3" s="21" t="s">
        <v>12</v>
      </c>
      <c r="V3" s="21">
        <f>6/10</f>
        <v>0.6</v>
      </c>
    </row>
    <row r="4" spans="1:22" x14ac:dyDescent="0.25">
      <c r="A4" s="4">
        <v>3</v>
      </c>
      <c r="B4" s="2" t="s">
        <v>5</v>
      </c>
      <c r="C4" s="2" t="s">
        <v>7</v>
      </c>
      <c r="D4" s="2" t="s">
        <v>9</v>
      </c>
      <c r="E4" s="2" t="s">
        <v>12</v>
      </c>
      <c r="F4" s="2"/>
      <c r="G4" s="8"/>
      <c r="H4" s="8"/>
      <c r="I4" s="8"/>
      <c r="J4" s="20"/>
      <c r="K4" s="11"/>
      <c r="L4" s="12"/>
      <c r="M4" s="12"/>
      <c r="N4" s="9"/>
      <c r="O4" s="15"/>
      <c r="P4" s="15"/>
      <c r="Q4" s="15"/>
      <c r="R4" s="14"/>
      <c r="S4" s="15"/>
    </row>
    <row r="5" spans="1:22" x14ac:dyDescent="0.25">
      <c r="A5" s="4">
        <v>4</v>
      </c>
      <c r="B5" s="2" t="s">
        <v>6</v>
      </c>
      <c r="C5" s="2" t="s">
        <v>7</v>
      </c>
      <c r="D5" s="2" t="s">
        <v>9</v>
      </c>
      <c r="E5" s="2" t="s">
        <v>12</v>
      </c>
      <c r="F5" s="2"/>
      <c r="G5" s="8" t="s">
        <v>5</v>
      </c>
      <c r="H5" s="8" t="s">
        <v>12</v>
      </c>
      <c r="I5" s="8" t="s">
        <v>26</v>
      </c>
      <c r="J5" s="20">
        <f>(4+1)/(6+2)</f>
        <v>0.625</v>
      </c>
      <c r="K5" s="9" t="s">
        <v>7</v>
      </c>
      <c r="L5" s="9" t="s">
        <v>12</v>
      </c>
      <c r="M5" s="9" t="s">
        <v>21</v>
      </c>
      <c r="N5" s="9">
        <f>(4+1)/(6+2)</f>
        <v>0.625</v>
      </c>
      <c r="O5" s="14" t="s">
        <v>9</v>
      </c>
      <c r="P5" s="14" t="s">
        <v>12</v>
      </c>
      <c r="Q5" s="14" t="s">
        <v>28</v>
      </c>
      <c r="R5" s="14">
        <f>(4+1)/(6+2)</f>
        <v>0.625</v>
      </c>
      <c r="S5" s="15"/>
    </row>
    <row r="6" spans="1:22" x14ac:dyDescent="0.25">
      <c r="A6" s="4">
        <v>5</v>
      </c>
      <c r="B6" s="2" t="s">
        <v>6</v>
      </c>
      <c r="C6" s="2" t="s">
        <v>7</v>
      </c>
      <c r="D6" s="2" t="s">
        <v>10</v>
      </c>
      <c r="E6" s="2" t="s">
        <v>11</v>
      </c>
      <c r="F6" s="2"/>
      <c r="G6" s="8" t="s">
        <v>6</v>
      </c>
      <c r="H6" s="8" t="s">
        <v>12</v>
      </c>
      <c r="I6" s="8" t="s">
        <v>27</v>
      </c>
      <c r="J6" s="20">
        <f>(2+1)/(6+2)</f>
        <v>0.375</v>
      </c>
      <c r="K6" s="9" t="s">
        <v>8</v>
      </c>
      <c r="L6" s="9" t="s">
        <v>12</v>
      </c>
      <c r="M6" s="9" t="s">
        <v>22</v>
      </c>
      <c r="N6" s="9">
        <f>(2+1)/(6+2)</f>
        <v>0.375</v>
      </c>
      <c r="O6" s="14" t="s">
        <v>10</v>
      </c>
      <c r="P6" s="14" t="s">
        <v>12</v>
      </c>
      <c r="Q6" s="14" t="s">
        <v>29</v>
      </c>
      <c r="R6" s="14">
        <f>(2+1)/(6+2)</f>
        <v>0.375</v>
      </c>
      <c r="S6" s="15"/>
    </row>
    <row r="7" spans="1:22" x14ac:dyDescent="0.25">
      <c r="A7" s="4">
        <v>6</v>
      </c>
      <c r="B7" s="2" t="s">
        <v>6</v>
      </c>
      <c r="C7" s="2" t="s">
        <v>8</v>
      </c>
      <c r="D7" s="2" t="s">
        <v>10</v>
      </c>
      <c r="E7" s="2" t="s">
        <v>12</v>
      </c>
      <c r="F7" s="2"/>
      <c r="G7" s="2"/>
      <c r="H7" s="2"/>
      <c r="I7" s="2"/>
      <c r="J7" s="2"/>
      <c r="K7" s="2"/>
    </row>
    <row r="8" spans="1:22" x14ac:dyDescent="0.25">
      <c r="A8" s="4">
        <v>7</v>
      </c>
      <c r="B8" s="2" t="s">
        <v>6</v>
      </c>
      <c r="C8" s="2" t="s">
        <v>8</v>
      </c>
      <c r="D8" s="2" t="s">
        <v>10</v>
      </c>
      <c r="E8" s="2" t="s">
        <v>11</v>
      </c>
      <c r="F8" s="2"/>
      <c r="G8" s="2" t="s">
        <v>15</v>
      </c>
      <c r="H8" s="2"/>
      <c r="I8" s="2"/>
      <c r="J8" s="2"/>
      <c r="K8" s="2"/>
    </row>
    <row r="9" spans="1:22" x14ac:dyDescent="0.25">
      <c r="A9" s="4">
        <v>8</v>
      </c>
      <c r="B9" s="2" t="s">
        <v>6</v>
      </c>
      <c r="C9" s="2" t="s">
        <v>8</v>
      </c>
      <c r="D9" s="2" t="s">
        <v>9</v>
      </c>
      <c r="E9" s="2" t="s">
        <v>11</v>
      </c>
      <c r="F9" s="2"/>
      <c r="G9" s="2" t="s">
        <v>37</v>
      </c>
      <c r="H9" s="2"/>
      <c r="I9" s="2"/>
      <c r="J9" s="2"/>
      <c r="K9" s="2"/>
      <c r="O9" s="17" t="s">
        <v>33</v>
      </c>
      <c r="P9" s="17"/>
      <c r="Q9" s="17"/>
    </row>
    <row r="10" spans="1:22" x14ac:dyDescent="0.25">
      <c r="A10" s="4">
        <v>9</v>
      </c>
      <c r="B10" s="2" t="s">
        <v>5</v>
      </c>
      <c r="C10" s="2" t="s">
        <v>8</v>
      </c>
      <c r="D10" s="2" t="s">
        <v>10</v>
      </c>
      <c r="E10" s="2" t="s">
        <v>12</v>
      </c>
      <c r="F10" s="2"/>
      <c r="G10" s="2" t="s">
        <v>17</v>
      </c>
      <c r="H10" s="2"/>
      <c r="I10" s="2"/>
      <c r="J10" s="2"/>
      <c r="K10" s="2"/>
    </row>
    <row r="11" spans="1:22" x14ac:dyDescent="0.25">
      <c r="A11" s="4">
        <v>10</v>
      </c>
      <c r="B11" s="2" t="s">
        <v>5</v>
      </c>
      <c r="C11" s="2" t="s">
        <v>7</v>
      </c>
      <c r="D11" s="2" t="s">
        <v>10</v>
      </c>
      <c r="E11" s="2" t="s">
        <v>11</v>
      </c>
      <c r="F11" s="2"/>
      <c r="G11" s="2"/>
      <c r="H11" s="2"/>
      <c r="I11" s="35">
        <f>J3*N2*R3*V2</f>
        <v>8.8888888888888892E-2</v>
      </c>
      <c r="J11" s="38">
        <f>I11/I16*100</f>
        <v>62.76432730615997</v>
      </c>
      <c r="K11" s="2"/>
    </row>
    <row r="12" spans="1:22" x14ac:dyDescent="0.25">
      <c r="A12" s="18">
        <v>11</v>
      </c>
      <c r="B12" s="19" t="s">
        <v>6</v>
      </c>
      <c r="C12" s="19" t="s">
        <v>7</v>
      </c>
      <c r="D12" s="19" t="s">
        <v>10</v>
      </c>
      <c r="E12" s="19" t="s">
        <v>35</v>
      </c>
      <c r="K12" s="40">
        <f>J11+J15</f>
        <v>100</v>
      </c>
    </row>
    <row r="13" spans="1:22" x14ac:dyDescent="0.25">
      <c r="A13" s="7" t="s">
        <v>89</v>
      </c>
      <c r="G13" s="17" t="s">
        <v>30</v>
      </c>
      <c r="H13" s="17"/>
    </row>
    <row r="14" spans="1:22" x14ac:dyDescent="0.25">
      <c r="G14" s="7" t="s">
        <v>38</v>
      </c>
      <c r="H14" s="7"/>
      <c r="O14" s="17" t="s">
        <v>33</v>
      </c>
      <c r="P14" s="17"/>
      <c r="Q14" s="17"/>
    </row>
    <row r="15" spans="1:22" x14ac:dyDescent="0.25">
      <c r="I15" s="36">
        <f>J6*N5*R6*V3</f>
        <v>5.2734375E-2</v>
      </c>
      <c r="J15" s="39">
        <f>I15/I16*100</f>
        <v>37.235672693840023</v>
      </c>
    </row>
    <row r="16" spans="1:22" x14ac:dyDescent="0.25">
      <c r="I16" s="41">
        <f>I11+I15</f>
        <v>0.14162326388888891</v>
      </c>
    </row>
    <row r="17" spans="5:12" x14ac:dyDescent="0.25">
      <c r="E17" s="16" t="s">
        <v>32</v>
      </c>
      <c r="F17" s="17"/>
      <c r="G17" t="s">
        <v>39</v>
      </c>
    </row>
    <row r="28" spans="5:12" x14ac:dyDescent="0.25">
      <c r="J28" s="21"/>
      <c r="K28" s="21"/>
      <c r="L28" s="21"/>
    </row>
    <row r="29" spans="5:12" x14ac:dyDescent="0.25">
      <c r="J29" s="21"/>
      <c r="K29" s="21"/>
      <c r="L29" s="21"/>
    </row>
    <row r="30" spans="5:12" x14ac:dyDescent="0.25">
      <c r="J30" s="21"/>
      <c r="K30" s="21"/>
      <c r="L30" s="21"/>
    </row>
    <row r="31" spans="5:12" x14ac:dyDescent="0.25">
      <c r="J31" s="21"/>
      <c r="K31" s="21"/>
      <c r="L31" s="21"/>
    </row>
  </sheetData>
  <mergeCells count="3">
    <mergeCell ref="G1:J1"/>
    <mergeCell ref="K1:N1"/>
    <mergeCell ref="O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C7FB-C04C-4F95-93FA-1A35A62D30BE}">
  <dimension ref="A1:V31"/>
  <sheetViews>
    <sheetView topLeftCell="A6" zoomScale="175" zoomScaleNormal="175" workbookViewId="0">
      <selection activeCell="I16" sqref="I16"/>
    </sheetView>
  </sheetViews>
  <sheetFormatPr defaultRowHeight="15" x14ac:dyDescent="0.25"/>
  <cols>
    <col min="1" max="1" width="4.7109375" style="5" customWidth="1"/>
    <col min="2" max="2" width="7" bestFit="1" customWidth="1"/>
    <col min="4" max="4" width="9.28515625" bestFit="1" customWidth="1"/>
    <col min="5" max="5" width="9.140625" customWidth="1"/>
    <col min="6" max="6" width="2" customWidth="1"/>
    <col min="7" max="7" width="6.7109375" customWidth="1"/>
    <col min="8" max="8" width="4" customWidth="1"/>
    <col min="9" max="9" width="13.7109375" customWidth="1"/>
    <col min="10" max="10" width="6.42578125" customWidth="1"/>
    <col min="11" max="11" width="7" customWidth="1"/>
    <col min="12" max="12" width="8.140625" customWidth="1"/>
    <col min="13" max="13" width="14.140625" customWidth="1"/>
    <col min="14" max="14" width="6.28515625" customWidth="1"/>
    <col min="15" max="15" width="12.28515625" customWidth="1"/>
    <col min="16" max="16" width="5.28515625" customWidth="1"/>
    <col min="17" max="17" width="17.5703125" customWidth="1"/>
    <col min="18" max="18" width="7.28515625" customWidth="1"/>
    <col min="19" max="19" width="3.85546875" customWidth="1"/>
    <col min="21" max="21" width="5.140625" customWidth="1"/>
    <col min="22" max="22" width="5.42578125" customWidth="1"/>
  </cols>
  <sheetData>
    <row r="1" spans="1:22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/>
      <c r="G1" s="42" t="s">
        <v>76</v>
      </c>
      <c r="H1" s="43"/>
      <c r="I1" s="43"/>
      <c r="J1" s="44"/>
      <c r="K1" s="45" t="s">
        <v>78</v>
      </c>
      <c r="L1" s="45"/>
      <c r="M1" s="45"/>
      <c r="N1" s="45"/>
      <c r="O1" s="46" t="s">
        <v>75</v>
      </c>
      <c r="P1" s="46"/>
      <c r="Q1" s="46"/>
      <c r="R1" s="46"/>
      <c r="S1" s="23"/>
    </row>
    <row r="2" spans="1:22" x14ac:dyDescent="0.25">
      <c r="A2" s="4">
        <v>1</v>
      </c>
      <c r="B2" s="2" t="s">
        <v>5</v>
      </c>
      <c r="C2" s="2" t="s">
        <v>7</v>
      </c>
      <c r="D2" s="2" t="s">
        <v>9</v>
      </c>
      <c r="E2" s="2" t="s">
        <v>12</v>
      </c>
      <c r="F2" s="2"/>
      <c r="G2" s="8" t="s">
        <v>5</v>
      </c>
      <c r="H2" s="8" t="s">
        <v>11</v>
      </c>
      <c r="I2" s="8" t="s">
        <v>18</v>
      </c>
      <c r="J2" s="20">
        <f>1/4</f>
        <v>0.25</v>
      </c>
      <c r="K2" s="9" t="s">
        <v>7</v>
      </c>
      <c r="L2" s="9" t="s">
        <v>11</v>
      </c>
      <c r="M2" s="9" t="s">
        <v>20</v>
      </c>
      <c r="N2" s="9">
        <f>2/4</f>
        <v>0.5</v>
      </c>
      <c r="O2" s="14" t="s">
        <v>9</v>
      </c>
      <c r="P2" s="14" t="s">
        <v>11</v>
      </c>
      <c r="Q2" s="14" t="s">
        <v>24</v>
      </c>
      <c r="R2" s="14">
        <f>1/4</f>
        <v>0.25</v>
      </c>
      <c r="S2" s="22"/>
      <c r="T2" s="24" t="s">
        <v>36</v>
      </c>
      <c r="U2" s="21" t="s">
        <v>11</v>
      </c>
      <c r="V2" s="21">
        <f>4/10</f>
        <v>0.4</v>
      </c>
    </row>
    <row r="3" spans="1:22" x14ac:dyDescent="0.25">
      <c r="A3" s="4">
        <v>2</v>
      </c>
      <c r="B3" s="2" t="s">
        <v>5</v>
      </c>
      <c r="C3" s="2" t="s">
        <v>7</v>
      </c>
      <c r="D3" s="2" t="s">
        <v>9</v>
      </c>
      <c r="E3" s="2" t="s">
        <v>12</v>
      </c>
      <c r="F3" s="2"/>
      <c r="G3" s="8" t="s">
        <v>6</v>
      </c>
      <c r="H3" s="8" t="s">
        <v>11</v>
      </c>
      <c r="I3" s="8" t="s">
        <v>19</v>
      </c>
      <c r="J3" s="20">
        <f>3/4</f>
        <v>0.75</v>
      </c>
      <c r="K3" s="9" t="s">
        <v>8</v>
      </c>
      <c r="L3" s="9" t="s">
        <v>11</v>
      </c>
      <c r="M3" s="9" t="s">
        <v>23</v>
      </c>
      <c r="N3" s="9">
        <f>2/4</f>
        <v>0.5</v>
      </c>
      <c r="O3" s="14" t="s">
        <v>10</v>
      </c>
      <c r="P3" s="14" t="s">
        <v>11</v>
      </c>
      <c r="Q3" s="14" t="s">
        <v>25</v>
      </c>
      <c r="R3" s="14">
        <f>3/4</f>
        <v>0.75</v>
      </c>
      <c r="S3" s="22"/>
      <c r="T3" s="24" t="s">
        <v>14</v>
      </c>
      <c r="U3" s="21" t="s">
        <v>12</v>
      </c>
      <c r="V3" s="21">
        <f>6/10</f>
        <v>0.6</v>
      </c>
    </row>
    <row r="4" spans="1:22" x14ac:dyDescent="0.25">
      <c r="A4" s="4">
        <v>3</v>
      </c>
      <c r="B4" s="2" t="s">
        <v>5</v>
      </c>
      <c r="C4" s="2" t="s">
        <v>7</v>
      </c>
      <c r="D4" s="2" t="s">
        <v>9</v>
      </c>
      <c r="E4" s="2" t="s">
        <v>12</v>
      </c>
      <c r="F4" s="2"/>
      <c r="G4" s="8"/>
      <c r="H4" s="8"/>
      <c r="I4" s="8"/>
      <c r="J4" s="20"/>
      <c r="K4" s="11"/>
      <c r="L4" s="12"/>
      <c r="M4" s="12"/>
      <c r="N4" s="9"/>
      <c r="O4" s="15"/>
      <c r="P4" s="15"/>
      <c r="Q4" s="15"/>
      <c r="R4" s="14"/>
      <c r="S4" s="15"/>
    </row>
    <row r="5" spans="1:22" x14ac:dyDescent="0.25">
      <c r="A5" s="4">
        <v>4</v>
      </c>
      <c r="B5" s="2" t="s">
        <v>6</v>
      </c>
      <c r="C5" s="2" t="s">
        <v>7</v>
      </c>
      <c r="D5" s="2" t="s">
        <v>9</v>
      </c>
      <c r="E5" s="2" t="s">
        <v>12</v>
      </c>
      <c r="F5" s="2"/>
      <c r="G5" s="8" t="s">
        <v>5</v>
      </c>
      <c r="H5" s="8" t="s">
        <v>12</v>
      </c>
      <c r="I5" s="8" t="s">
        <v>26</v>
      </c>
      <c r="J5" s="20">
        <f>4/6</f>
        <v>0.66666666666666663</v>
      </c>
      <c r="K5" s="9" t="s">
        <v>7</v>
      </c>
      <c r="L5" s="9" t="s">
        <v>12</v>
      </c>
      <c r="M5" s="9" t="s">
        <v>21</v>
      </c>
      <c r="N5" s="9">
        <f>4/6</f>
        <v>0.66666666666666663</v>
      </c>
      <c r="O5" s="14" t="s">
        <v>9</v>
      </c>
      <c r="P5" s="14" t="s">
        <v>12</v>
      </c>
      <c r="Q5" s="14" t="s">
        <v>28</v>
      </c>
      <c r="R5" s="14">
        <f>4/6</f>
        <v>0.66666666666666663</v>
      </c>
      <c r="S5" s="15"/>
    </row>
    <row r="6" spans="1:22" x14ac:dyDescent="0.25">
      <c r="A6" s="4">
        <v>5</v>
      </c>
      <c r="B6" s="2" t="s">
        <v>6</v>
      </c>
      <c r="C6" s="2" t="s">
        <v>7</v>
      </c>
      <c r="D6" s="2" t="s">
        <v>10</v>
      </c>
      <c r="E6" s="2" t="s">
        <v>11</v>
      </c>
      <c r="F6" s="2"/>
      <c r="G6" s="8" t="s">
        <v>6</v>
      </c>
      <c r="H6" s="8" t="s">
        <v>12</v>
      </c>
      <c r="I6" s="8" t="s">
        <v>27</v>
      </c>
      <c r="J6" s="20">
        <f>2/6</f>
        <v>0.33333333333333331</v>
      </c>
      <c r="K6" s="9" t="s">
        <v>8</v>
      </c>
      <c r="L6" s="9" t="s">
        <v>12</v>
      </c>
      <c r="M6" s="9" t="s">
        <v>22</v>
      </c>
      <c r="N6" s="9">
        <f>2/6</f>
        <v>0.33333333333333331</v>
      </c>
      <c r="O6" s="14" t="s">
        <v>10</v>
      </c>
      <c r="P6" s="14" t="s">
        <v>12</v>
      </c>
      <c r="Q6" s="14" t="s">
        <v>29</v>
      </c>
      <c r="R6" s="14">
        <f>2/6</f>
        <v>0.33333333333333331</v>
      </c>
      <c r="S6" s="15"/>
    </row>
    <row r="7" spans="1:22" x14ac:dyDescent="0.25">
      <c r="A7" s="4">
        <v>6</v>
      </c>
      <c r="B7" s="2" t="s">
        <v>6</v>
      </c>
      <c r="C7" s="2" t="s">
        <v>8</v>
      </c>
      <c r="D7" s="2" t="s">
        <v>10</v>
      </c>
      <c r="E7" s="2" t="s">
        <v>12</v>
      </c>
      <c r="F7" s="2"/>
      <c r="G7" s="2"/>
      <c r="H7" s="2"/>
      <c r="I7" s="2"/>
      <c r="J7" s="2"/>
      <c r="K7" s="2"/>
    </row>
    <row r="8" spans="1:22" x14ac:dyDescent="0.25">
      <c r="A8" s="4">
        <v>7</v>
      </c>
      <c r="B8" s="2" t="s">
        <v>6</v>
      </c>
      <c r="C8" s="2" t="s">
        <v>8</v>
      </c>
      <c r="D8" s="2" t="s">
        <v>10</v>
      </c>
      <c r="E8" s="2" t="s">
        <v>11</v>
      </c>
      <c r="F8" s="2"/>
      <c r="G8" s="2" t="s">
        <v>15</v>
      </c>
      <c r="H8" s="2"/>
      <c r="I8" s="2"/>
      <c r="J8" s="2"/>
      <c r="K8" s="2"/>
    </row>
    <row r="9" spans="1:22" x14ac:dyDescent="0.25">
      <c r="A9" s="4">
        <v>8</v>
      </c>
      <c r="B9" s="2" t="s">
        <v>6</v>
      </c>
      <c r="C9" s="2" t="s">
        <v>8</v>
      </c>
      <c r="D9" s="2" t="s">
        <v>9</v>
      </c>
      <c r="E9" s="2" t="s">
        <v>11</v>
      </c>
      <c r="F9" s="2"/>
      <c r="G9" s="2" t="s">
        <v>37</v>
      </c>
      <c r="H9" s="2"/>
      <c r="I9" s="2"/>
      <c r="J9" s="2"/>
      <c r="K9" s="2"/>
      <c r="O9" s="17" t="s">
        <v>33</v>
      </c>
      <c r="P9" s="17"/>
      <c r="Q9" s="17"/>
    </row>
    <row r="10" spans="1:22" x14ac:dyDescent="0.25">
      <c r="A10" s="4">
        <v>9</v>
      </c>
      <c r="B10" s="2" t="s">
        <v>5</v>
      </c>
      <c r="C10" s="2" t="s">
        <v>8</v>
      </c>
      <c r="D10" s="2" t="s">
        <v>10</v>
      </c>
      <c r="E10" s="2" t="s">
        <v>12</v>
      </c>
      <c r="F10" s="2"/>
      <c r="G10" s="2" t="s">
        <v>17</v>
      </c>
      <c r="H10" s="2"/>
      <c r="I10" s="2"/>
      <c r="J10" s="2"/>
      <c r="K10" s="2"/>
    </row>
    <row r="11" spans="1:22" x14ac:dyDescent="0.25">
      <c r="A11" s="4">
        <v>10</v>
      </c>
      <c r="B11" s="2" t="s">
        <v>5</v>
      </c>
      <c r="C11" s="2" t="s">
        <v>7</v>
      </c>
      <c r="D11" s="2" t="s">
        <v>10</v>
      </c>
      <c r="E11" s="2" t="s">
        <v>11</v>
      </c>
      <c r="F11" s="2"/>
      <c r="G11" s="2"/>
      <c r="H11" s="2"/>
      <c r="I11" s="35">
        <f>J3*N2*R3*V2</f>
        <v>0.1125</v>
      </c>
      <c r="J11" s="2">
        <f>I11/I19*100</f>
        <v>71.681415929203538</v>
      </c>
      <c r="K11" s="2"/>
    </row>
    <row r="12" spans="1:22" x14ac:dyDescent="0.25">
      <c r="A12" s="18">
        <v>11</v>
      </c>
      <c r="B12" s="19" t="s">
        <v>6</v>
      </c>
      <c r="C12" s="19" t="s">
        <v>7</v>
      </c>
      <c r="D12" s="19" t="s">
        <v>10</v>
      </c>
      <c r="E12" s="19" t="s">
        <v>35</v>
      </c>
      <c r="L12">
        <f>J11+J15</f>
        <v>100</v>
      </c>
    </row>
    <row r="13" spans="1:22" x14ac:dyDescent="0.25">
      <c r="G13" s="17" t="s">
        <v>30</v>
      </c>
      <c r="H13" s="17"/>
    </row>
    <row r="14" spans="1:22" x14ac:dyDescent="0.25">
      <c r="G14" s="7" t="s">
        <v>38</v>
      </c>
      <c r="H14" s="7"/>
      <c r="O14" s="17" t="s">
        <v>33</v>
      </c>
      <c r="P14" s="17"/>
      <c r="Q14" s="17"/>
    </row>
    <row r="15" spans="1:22" x14ac:dyDescent="0.25">
      <c r="I15" s="36">
        <f>J6*N5*R6*V3</f>
        <v>4.4444444444444439E-2</v>
      </c>
      <c r="J15">
        <f>I15/I19*100</f>
        <v>28.318584070796462</v>
      </c>
    </row>
    <row r="17" spans="5:12" x14ac:dyDescent="0.25">
      <c r="E17" s="16" t="s">
        <v>32</v>
      </c>
      <c r="F17" s="17"/>
      <c r="G17" t="s">
        <v>39</v>
      </c>
    </row>
    <row r="19" spans="5:12" x14ac:dyDescent="0.25">
      <c r="I19" s="36">
        <f>I11+I15</f>
        <v>0.15694444444444444</v>
      </c>
    </row>
    <row r="28" spans="5:12" x14ac:dyDescent="0.25">
      <c r="J28" s="21"/>
      <c r="K28" s="21"/>
      <c r="L28" s="21"/>
    </row>
    <row r="29" spans="5:12" x14ac:dyDescent="0.25">
      <c r="J29" s="21"/>
      <c r="K29" s="21"/>
      <c r="L29" s="21"/>
    </row>
    <row r="30" spans="5:12" x14ac:dyDescent="0.25">
      <c r="J30" s="21"/>
      <c r="K30" s="21"/>
      <c r="L30" s="21"/>
    </row>
    <row r="31" spans="5:12" x14ac:dyDescent="0.25">
      <c r="J31" s="21"/>
      <c r="K31" s="21"/>
      <c r="L31" s="21"/>
    </row>
  </sheetData>
  <mergeCells count="3">
    <mergeCell ref="G1:J1"/>
    <mergeCell ref="K1:N1"/>
    <mergeCell ref="O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5827-5706-44BC-B5AE-0D15AD917F33}">
  <dimension ref="A1:R402"/>
  <sheetViews>
    <sheetView topLeftCell="A35" zoomScale="180" zoomScaleNormal="180" workbookViewId="0">
      <selection activeCell="R37" sqref="R37"/>
    </sheetView>
  </sheetViews>
  <sheetFormatPr defaultRowHeight="15" x14ac:dyDescent="0.25"/>
  <cols>
    <col min="15" max="15" width="16" customWidth="1"/>
    <col min="16" max="16" width="4.42578125" customWidth="1"/>
    <col min="17" max="17" width="3.7109375" customWidth="1"/>
    <col min="18" max="18" width="26" customWidth="1"/>
  </cols>
  <sheetData>
    <row r="1" spans="1:12" s="28" customFormat="1" ht="33" customHeight="1" x14ac:dyDescent="0.25">
      <c r="A1" s="29" t="s">
        <v>40</v>
      </c>
      <c r="B1" s="29" t="s">
        <v>41</v>
      </c>
      <c r="C1" s="29" t="s">
        <v>42</v>
      </c>
      <c r="E1" s="47" t="s">
        <v>85</v>
      </c>
      <c r="F1" s="47"/>
      <c r="G1" s="47"/>
      <c r="H1" s="47"/>
      <c r="I1" s="47"/>
    </row>
    <row r="2" spans="1:12" x14ac:dyDescent="0.25">
      <c r="A2" s="8">
        <v>59</v>
      </c>
      <c r="B2" s="8">
        <v>83000</v>
      </c>
      <c r="C2" s="8">
        <v>0</v>
      </c>
    </row>
    <row r="3" spans="1:12" x14ac:dyDescent="0.25">
      <c r="A3" s="8">
        <v>59</v>
      </c>
      <c r="B3" s="8">
        <v>42000</v>
      </c>
      <c r="C3" s="8">
        <v>0</v>
      </c>
      <c r="E3" s="2" t="s">
        <v>44</v>
      </c>
      <c r="F3" s="2"/>
      <c r="G3" s="2">
        <f>COUNTIF($C$2:$C$401,0)</f>
        <v>257</v>
      </c>
    </row>
    <row r="4" spans="1:12" x14ac:dyDescent="0.25">
      <c r="A4" s="8">
        <v>18</v>
      </c>
      <c r="B4" s="8">
        <v>82000</v>
      </c>
      <c r="C4" s="8">
        <v>0</v>
      </c>
      <c r="E4" s="2" t="s">
        <v>45</v>
      </c>
      <c r="F4" s="2"/>
      <c r="G4" s="2">
        <f>COUNTIF($C$2:$C$401,1)</f>
        <v>143</v>
      </c>
    </row>
    <row r="5" spans="1:12" x14ac:dyDescent="0.25">
      <c r="A5" s="8">
        <v>18</v>
      </c>
      <c r="B5" s="8">
        <v>44000</v>
      </c>
      <c r="C5" s="8">
        <v>0</v>
      </c>
      <c r="G5">
        <f>SUM(G3:G4)</f>
        <v>400</v>
      </c>
    </row>
    <row r="6" spans="1:12" x14ac:dyDescent="0.25">
      <c r="A6" s="8">
        <v>18</v>
      </c>
      <c r="B6" s="8">
        <v>52000</v>
      </c>
      <c r="C6" s="8">
        <v>0</v>
      </c>
      <c r="E6" s="27" t="s">
        <v>86</v>
      </c>
    </row>
    <row r="7" spans="1:12" x14ac:dyDescent="0.25">
      <c r="A7" s="8">
        <v>18</v>
      </c>
      <c r="B7" s="8">
        <v>68000</v>
      </c>
      <c r="C7" s="8">
        <v>0</v>
      </c>
      <c r="E7" t="s">
        <v>47</v>
      </c>
      <c r="G7">
        <f>AVERAGE(A2:A258)</f>
        <v>32.832684824902721</v>
      </c>
    </row>
    <row r="8" spans="1:12" x14ac:dyDescent="0.25">
      <c r="A8" s="8">
        <v>18</v>
      </c>
      <c r="B8" s="8">
        <v>86000</v>
      </c>
      <c r="C8" s="8">
        <v>0</v>
      </c>
      <c r="E8" t="s">
        <v>48</v>
      </c>
      <c r="G8">
        <f>STDEVA(A2:A258)</f>
        <v>7.8704861685402143</v>
      </c>
    </row>
    <row r="9" spans="1:12" x14ac:dyDescent="0.25">
      <c r="A9" s="8">
        <v>19</v>
      </c>
      <c r="B9" s="8">
        <v>19000</v>
      </c>
      <c r="C9" s="8">
        <v>0</v>
      </c>
      <c r="E9" t="s">
        <v>49</v>
      </c>
      <c r="G9">
        <f>AVERAGE(A259:A401)</f>
        <v>46.13986013986014</v>
      </c>
    </row>
    <row r="10" spans="1:12" x14ac:dyDescent="0.25">
      <c r="A10" s="8">
        <v>19</v>
      </c>
      <c r="B10" s="8">
        <v>76000</v>
      </c>
      <c r="C10" s="8">
        <v>0</v>
      </c>
      <c r="E10" t="s">
        <v>50</v>
      </c>
      <c r="G10">
        <f>STDEVA(A259:A401)</f>
        <v>8.7593824132750111</v>
      </c>
    </row>
    <row r="11" spans="1:12" x14ac:dyDescent="0.25">
      <c r="A11" s="8">
        <v>19</v>
      </c>
      <c r="B11" s="8">
        <v>21000</v>
      </c>
      <c r="C11" s="8">
        <v>0</v>
      </c>
    </row>
    <row r="12" spans="1:12" x14ac:dyDescent="0.25">
      <c r="A12" s="8">
        <v>19</v>
      </c>
      <c r="B12" s="8">
        <v>25000</v>
      </c>
      <c r="C12" s="8">
        <v>0</v>
      </c>
      <c r="E12" t="s">
        <v>51</v>
      </c>
      <c r="G12">
        <f>AVERAGE(B2:B258)</f>
        <v>61575.875486381323</v>
      </c>
    </row>
    <row r="13" spans="1:12" x14ac:dyDescent="0.25">
      <c r="A13" s="8">
        <v>19</v>
      </c>
      <c r="B13" s="8">
        <v>26000</v>
      </c>
      <c r="C13" s="8">
        <v>0</v>
      </c>
      <c r="E13" t="s">
        <v>52</v>
      </c>
      <c r="G13">
        <f>STDEVA(B2:B258)</f>
        <v>23708.579870680489</v>
      </c>
    </row>
    <row r="14" spans="1:12" x14ac:dyDescent="0.25">
      <c r="A14" s="8">
        <v>19</v>
      </c>
      <c r="B14" s="8">
        <v>70000</v>
      </c>
      <c r="C14" s="8">
        <v>0</v>
      </c>
      <c r="E14" t="s">
        <v>53</v>
      </c>
      <c r="G14">
        <f>AVERAGE(B259:B401)</f>
        <v>86545.454545454544</v>
      </c>
      <c r="L14" t="s">
        <v>46</v>
      </c>
    </row>
    <row r="15" spans="1:12" x14ac:dyDescent="0.25">
      <c r="A15" s="8">
        <v>20</v>
      </c>
      <c r="B15" s="8">
        <v>86000</v>
      </c>
      <c r="C15" s="8">
        <v>0</v>
      </c>
      <c r="E15" t="s">
        <v>54</v>
      </c>
      <c r="G15">
        <f>STDEVA(B259:B401)</f>
        <v>41880.90547347143</v>
      </c>
    </row>
    <row r="16" spans="1:12" x14ac:dyDescent="0.25">
      <c r="A16" s="8">
        <v>20</v>
      </c>
      <c r="B16" s="8">
        <v>80000</v>
      </c>
      <c r="C16" s="8">
        <v>0</v>
      </c>
    </row>
    <row r="17" spans="1:18" x14ac:dyDescent="0.25">
      <c r="A17" s="8">
        <v>20</v>
      </c>
      <c r="B17" s="8">
        <v>49000</v>
      </c>
      <c r="C17" s="8">
        <v>0</v>
      </c>
    </row>
    <row r="18" spans="1:18" x14ac:dyDescent="0.25">
      <c r="A18" s="8">
        <v>20</v>
      </c>
      <c r="B18" s="8">
        <v>82000</v>
      </c>
      <c r="C18" s="8">
        <v>0</v>
      </c>
      <c r="E18" s="27" t="s">
        <v>55</v>
      </c>
      <c r="L18" t="s">
        <v>47</v>
      </c>
      <c r="N18">
        <v>32.832684824902699</v>
      </c>
    </row>
    <row r="19" spans="1:18" x14ac:dyDescent="0.25">
      <c r="A19" s="8">
        <v>20</v>
      </c>
      <c r="B19" s="8">
        <v>74000</v>
      </c>
      <c r="C19" s="8">
        <v>0</v>
      </c>
      <c r="E19" t="s">
        <v>56</v>
      </c>
      <c r="G19">
        <f>G3/G5</f>
        <v>0.64249999999999996</v>
      </c>
      <c r="L19" t="s">
        <v>48</v>
      </c>
      <c r="N19">
        <v>7.8704861685402143</v>
      </c>
    </row>
    <row r="20" spans="1:18" x14ac:dyDescent="0.25">
      <c r="A20" s="8">
        <v>20</v>
      </c>
      <c r="B20" s="8">
        <v>82000</v>
      </c>
      <c r="C20" s="8">
        <v>0</v>
      </c>
      <c r="E20" t="s">
        <v>57</v>
      </c>
      <c r="G20">
        <f>G4/G5</f>
        <v>0.35749999999999998</v>
      </c>
      <c r="L20" t="s">
        <v>49</v>
      </c>
      <c r="N20">
        <v>46.13986013986014</v>
      </c>
    </row>
    <row r="21" spans="1:18" x14ac:dyDescent="0.25">
      <c r="A21" s="8">
        <v>20</v>
      </c>
      <c r="B21" s="8">
        <v>36000</v>
      </c>
      <c r="C21" s="8">
        <v>0</v>
      </c>
      <c r="L21" t="s">
        <v>50</v>
      </c>
      <c r="N21">
        <v>8.7593824132750111</v>
      </c>
    </row>
    <row r="22" spans="1:18" x14ac:dyDescent="0.25">
      <c r="A22" s="8">
        <v>21</v>
      </c>
      <c r="B22" s="8">
        <v>16000</v>
      </c>
      <c r="C22" s="8">
        <v>0</v>
      </c>
      <c r="E22" s="27" t="s">
        <v>58</v>
      </c>
    </row>
    <row r="23" spans="1:18" x14ac:dyDescent="0.25">
      <c r="A23" s="8">
        <v>21</v>
      </c>
      <c r="B23" s="8">
        <v>72000</v>
      </c>
      <c r="C23" s="8">
        <v>0</v>
      </c>
      <c r="E23" t="s">
        <v>40</v>
      </c>
      <c r="F23" t="s">
        <v>59</v>
      </c>
      <c r="G23" t="s">
        <v>60</v>
      </c>
      <c r="L23" t="s">
        <v>51</v>
      </c>
      <c r="N23">
        <v>61575.875486381323</v>
      </c>
    </row>
    <row r="24" spans="1:18" x14ac:dyDescent="0.25">
      <c r="A24" s="8">
        <v>21</v>
      </c>
      <c r="B24" s="8">
        <v>68000</v>
      </c>
      <c r="C24" s="8">
        <v>0</v>
      </c>
      <c r="E24" s="31">
        <v>36</v>
      </c>
      <c r="F24" s="31">
        <v>120000</v>
      </c>
      <c r="G24" t="s">
        <v>35</v>
      </c>
      <c r="L24" t="s">
        <v>52</v>
      </c>
      <c r="N24">
        <v>23708.579870680489</v>
      </c>
      <c r="R24" s="7"/>
    </row>
    <row r="25" spans="1:18" x14ac:dyDescent="0.25">
      <c r="A25" s="8">
        <v>21</v>
      </c>
      <c r="B25" s="8">
        <v>88000</v>
      </c>
      <c r="C25" s="8">
        <v>0</v>
      </c>
      <c r="L25" t="s">
        <v>53</v>
      </c>
      <c r="N25">
        <v>86545.454545454544</v>
      </c>
      <c r="R25" s="7"/>
    </row>
    <row r="26" spans="1:18" x14ac:dyDescent="0.25">
      <c r="A26" s="8">
        <v>22</v>
      </c>
      <c r="B26" s="8">
        <v>18000</v>
      </c>
      <c r="C26" s="8">
        <v>0</v>
      </c>
      <c r="E26" s="27" t="s">
        <v>87</v>
      </c>
      <c r="L26" t="s">
        <v>54</v>
      </c>
      <c r="N26">
        <v>41880.90547347143</v>
      </c>
      <c r="R26" s="7"/>
    </row>
    <row r="27" spans="1:18" x14ac:dyDescent="0.25">
      <c r="A27" s="8">
        <v>22</v>
      </c>
      <c r="B27" s="8">
        <v>63000</v>
      </c>
      <c r="C27" s="8">
        <v>0</v>
      </c>
      <c r="E27" s="27" t="s">
        <v>61</v>
      </c>
      <c r="R27" s="7"/>
    </row>
    <row r="28" spans="1:18" x14ac:dyDescent="0.25">
      <c r="A28" s="8">
        <v>22</v>
      </c>
      <c r="B28" s="8">
        <v>27000</v>
      </c>
      <c r="C28" s="8">
        <v>0</v>
      </c>
      <c r="E28" t="s">
        <v>67</v>
      </c>
      <c r="I28" t="s">
        <v>43</v>
      </c>
      <c r="O28" s="32">
        <f>(1/(N19*SQRT(2*PI()))) * EXP( - (((E24 - N18)^2)) / (2*(N19^2)))</f>
        <v>4.6745696207151771E-2</v>
      </c>
      <c r="P28" t="s">
        <v>40</v>
      </c>
      <c r="Q28" t="s">
        <v>12</v>
      </c>
      <c r="R28" s="7"/>
    </row>
    <row r="29" spans="1:18" x14ac:dyDescent="0.25">
      <c r="A29" s="8">
        <v>22</v>
      </c>
      <c r="B29" s="8">
        <v>81000</v>
      </c>
      <c r="C29" s="8">
        <v>0</v>
      </c>
      <c r="E29" t="s">
        <v>68</v>
      </c>
      <c r="O29" s="32">
        <f>(1/(N24*SQRT(2*PI()))) * EXP( - (((F24 - N23)^2)) / (2*(N24^2)))</f>
        <v>8.0790487576178557E-7</v>
      </c>
      <c r="P29" t="s">
        <v>84</v>
      </c>
      <c r="Q29" t="s">
        <v>12</v>
      </c>
      <c r="R29" s="7"/>
    </row>
    <row r="30" spans="1:18" x14ac:dyDescent="0.25">
      <c r="A30" s="8">
        <v>22</v>
      </c>
      <c r="B30" s="8">
        <v>55000</v>
      </c>
      <c r="C30" s="8">
        <v>0</v>
      </c>
      <c r="R30" s="7"/>
    </row>
    <row r="31" spans="1:18" x14ac:dyDescent="0.25">
      <c r="A31" s="8">
        <v>23</v>
      </c>
      <c r="B31" s="8">
        <v>20000</v>
      </c>
      <c r="C31" s="8">
        <v>0</v>
      </c>
      <c r="E31" s="27" t="s">
        <v>62</v>
      </c>
      <c r="R31" s="7"/>
    </row>
    <row r="32" spans="1:18" x14ac:dyDescent="0.25">
      <c r="A32" s="8">
        <v>23</v>
      </c>
      <c r="B32" s="8">
        <v>48000</v>
      </c>
      <c r="C32" s="8">
        <v>0</v>
      </c>
      <c r="E32" t="s">
        <v>69</v>
      </c>
      <c r="I32" t="s">
        <v>43</v>
      </c>
      <c r="O32">
        <f>(1/(N21*SQRT(2*PI()))) * EXP( - (((E24 - N20)^2)) / (2*(N21^2)))</f>
        <v>2.3305108571592691E-2</v>
      </c>
      <c r="P32" t="s">
        <v>40</v>
      </c>
      <c r="Q32" t="s">
        <v>11</v>
      </c>
      <c r="R32" s="7"/>
    </row>
    <row r="33" spans="1:18" x14ac:dyDescent="0.25">
      <c r="A33" s="8">
        <v>23</v>
      </c>
      <c r="B33" s="8">
        <v>66000</v>
      </c>
      <c r="C33" s="8">
        <v>0</v>
      </c>
      <c r="E33" t="s">
        <v>70</v>
      </c>
      <c r="O33" s="33">
        <f>(1/(N26*SQRT(2*PI()))) * EXP( - (((F24 - N25)^2)) / (2*(N26^2)))</f>
        <v>6.9236599792058621E-6</v>
      </c>
      <c r="P33" t="s">
        <v>84</v>
      </c>
      <c r="Q33" t="s">
        <v>11</v>
      </c>
      <c r="R33" s="7"/>
    </row>
    <row r="34" spans="1:18" x14ac:dyDescent="0.25">
      <c r="A34" s="8">
        <v>23</v>
      </c>
      <c r="B34" s="8">
        <v>82000</v>
      </c>
      <c r="C34" s="8">
        <v>0</v>
      </c>
      <c r="R34" s="7"/>
    </row>
    <row r="35" spans="1:18" x14ac:dyDescent="0.25">
      <c r="A35" s="8">
        <v>23</v>
      </c>
      <c r="B35" s="8">
        <v>63000</v>
      </c>
      <c r="C35" s="8">
        <v>0</v>
      </c>
      <c r="E35" s="27" t="s">
        <v>63</v>
      </c>
      <c r="R35" s="7"/>
    </row>
    <row r="36" spans="1:18" x14ac:dyDescent="0.25">
      <c r="A36" s="8">
        <v>23</v>
      </c>
      <c r="B36" s="8">
        <v>28000</v>
      </c>
      <c r="C36" s="8">
        <v>0</v>
      </c>
      <c r="E36" t="s">
        <v>71</v>
      </c>
      <c r="Q36" s="27" t="s">
        <v>64</v>
      </c>
      <c r="R36" s="34">
        <f>O28*O29*G19</f>
        <v>2.4264703757164347E-8</v>
      </c>
    </row>
    <row r="37" spans="1:18" x14ac:dyDescent="0.25">
      <c r="A37" s="8">
        <v>52</v>
      </c>
      <c r="B37" s="8">
        <v>114000</v>
      </c>
      <c r="C37" s="8">
        <v>0</v>
      </c>
      <c r="E37" t="s">
        <v>72</v>
      </c>
      <c r="Q37" s="27" t="s">
        <v>65</v>
      </c>
      <c r="R37" s="34">
        <f>O32*O33*G20</f>
        <v>5.768500149132571E-8</v>
      </c>
    </row>
    <row r="38" spans="1:18" x14ac:dyDescent="0.25">
      <c r="A38" s="8">
        <v>24</v>
      </c>
      <c r="B38" s="8">
        <v>32000</v>
      </c>
      <c r="C38" s="8">
        <v>0</v>
      </c>
    </row>
    <row r="39" spans="1:18" x14ac:dyDescent="0.25">
      <c r="A39" s="8">
        <v>24</v>
      </c>
      <c r="B39" s="8">
        <v>55000</v>
      </c>
      <c r="C39" s="8">
        <v>0</v>
      </c>
      <c r="E39" t="s">
        <v>66</v>
      </c>
    </row>
    <row r="40" spans="1:18" x14ac:dyDescent="0.25">
      <c r="A40" s="8">
        <v>24</v>
      </c>
      <c r="B40" s="8">
        <v>58000</v>
      </c>
      <c r="C40" s="8">
        <v>0</v>
      </c>
    </row>
    <row r="41" spans="1:18" x14ac:dyDescent="0.25">
      <c r="A41" s="8">
        <v>24</v>
      </c>
      <c r="B41" s="8">
        <v>19000</v>
      </c>
      <c r="C41" s="8">
        <v>0</v>
      </c>
    </row>
    <row r="42" spans="1:18" x14ac:dyDescent="0.25">
      <c r="A42" s="8">
        <v>24</v>
      </c>
      <c r="B42" s="8">
        <v>27000</v>
      </c>
      <c r="C42" s="8">
        <v>0</v>
      </c>
    </row>
    <row r="43" spans="1:18" x14ac:dyDescent="0.25">
      <c r="A43" s="8">
        <v>24</v>
      </c>
      <c r="B43" s="8">
        <v>80000</v>
      </c>
      <c r="C43" s="8">
        <v>0</v>
      </c>
    </row>
    <row r="44" spans="1:18" x14ac:dyDescent="0.25">
      <c r="A44" s="8">
        <v>24</v>
      </c>
      <c r="B44" s="8">
        <v>89000</v>
      </c>
      <c r="C44" s="8">
        <v>0</v>
      </c>
    </row>
    <row r="45" spans="1:18" x14ac:dyDescent="0.25">
      <c r="A45" s="8">
        <v>24</v>
      </c>
      <c r="B45" s="8">
        <v>23000</v>
      </c>
      <c r="C45" s="8">
        <v>0</v>
      </c>
    </row>
    <row r="46" spans="1:18" x14ac:dyDescent="0.25">
      <c r="A46" s="8">
        <v>24</v>
      </c>
      <c r="B46" s="8">
        <v>84000</v>
      </c>
      <c r="C46" s="8">
        <v>0</v>
      </c>
    </row>
    <row r="47" spans="1:18" x14ac:dyDescent="0.25">
      <c r="A47" s="8">
        <v>51</v>
      </c>
      <c r="B47" s="8">
        <v>134000</v>
      </c>
      <c r="C47" s="8">
        <v>0</v>
      </c>
    </row>
    <row r="48" spans="1:18" x14ac:dyDescent="0.25">
      <c r="A48" s="8">
        <v>25</v>
      </c>
      <c r="B48" s="8">
        <v>80000</v>
      </c>
      <c r="C48" s="8">
        <v>0</v>
      </c>
    </row>
    <row r="49" spans="1:3" x14ac:dyDescent="0.25">
      <c r="A49" s="8">
        <v>25</v>
      </c>
      <c r="B49" s="8">
        <v>79000</v>
      </c>
      <c r="C49" s="8">
        <v>0</v>
      </c>
    </row>
    <row r="50" spans="1:3" x14ac:dyDescent="0.25">
      <c r="A50" s="8">
        <v>25</v>
      </c>
      <c r="B50" s="8">
        <v>87000</v>
      </c>
      <c r="C50" s="8">
        <v>0</v>
      </c>
    </row>
    <row r="51" spans="1:3" x14ac:dyDescent="0.25">
      <c r="A51" s="8">
        <v>25</v>
      </c>
      <c r="B51" s="8">
        <v>80000</v>
      </c>
      <c r="C51" s="8">
        <v>0</v>
      </c>
    </row>
    <row r="52" spans="1:3" x14ac:dyDescent="0.25">
      <c r="A52" s="8">
        <v>25</v>
      </c>
      <c r="B52" s="8">
        <v>22000</v>
      </c>
      <c r="C52" s="8">
        <v>0</v>
      </c>
    </row>
    <row r="53" spans="1:3" x14ac:dyDescent="0.25">
      <c r="A53" s="8">
        <v>50</v>
      </c>
      <c r="B53" s="8">
        <v>44000</v>
      </c>
      <c r="C53" s="8">
        <v>0</v>
      </c>
    </row>
    <row r="54" spans="1:3" x14ac:dyDescent="0.25">
      <c r="A54" s="8">
        <v>26</v>
      </c>
      <c r="B54" s="8">
        <v>43000</v>
      </c>
      <c r="C54" s="8">
        <v>0</v>
      </c>
    </row>
    <row r="55" spans="1:3" x14ac:dyDescent="0.25">
      <c r="A55" s="8">
        <v>26</v>
      </c>
      <c r="B55" s="8">
        <v>80000</v>
      </c>
      <c r="C55" s="8">
        <v>0</v>
      </c>
    </row>
    <row r="56" spans="1:3" x14ac:dyDescent="0.25">
      <c r="A56" s="8">
        <v>26</v>
      </c>
      <c r="B56" s="8">
        <v>52000</v>
      </c>
      <c r="C56" s="8">
        <v>0</v>
      </c>
    </row>
    <row r="57" spans="1:3" x14ac:dyDescent="0.25">
      <c r="A57" s="8">
        <v>26</v>
      </c>
      <c r="B57" s="8">
        <v>72000</v>
      </c>
      <c r="C57" s="8">
        <v>0</v>
      </c>
    </row>
    <row r="58" spans="1:3" x14ac:dyDescent="0.25">
      <c r="A58" s="8">
        <v>26</v>
      </c>
      <c r="B58" s="8">
        <v>17000</v>
      </c>
      <c r="C58" s="8">
        <v>0</v>
      </c>
    </row>
    <row r="59" spans="1:3" x14ac:dyDescent="0.25">
      <c r="A59" s="8">
        <v>26</v>
      </c>
      <c r="B59" s="8">
        <v>81000</v>
      </c>
      <c r="C59" s="8">
        <v>0</v>
      </c>
    </row>
    <row r="60" spans="1:3" x14ac:dyDescent="0.25">
      <c r="A60" s="8">
        <v>26</v>
      </c>
      <c r="B60" s="8">
        <v>15000</v>
      </c>
      <c r="C60" s="8">
        <v>0</v>
      </c>
    </row>
    <row r="61" spans="1:3" x14ac:dyDescent="0.25">
      <c r="A61" s="8">
        <v>26</v>
      </c>
      <c r="B61" s="8">
        <v>35000</v>
      </c>
      <c r="C61" s="8">
        <v>0</v>
      </c>
    </row>
    <row r="62" spans="1:3" x14ac:dyDescent="0.25">
      <c r="A62" s="8">
        <v>26</v>
      </c>
      <c r="B62" s="8">
        <v>86000</v>
      </c>
      <c r="C62" s="8">
        <v>0</v>
      </c>
    </row>
    <row r="63" spans="1:3" x14ac:dyDescent="0.25">
      <c r="A63" s="8">
        <v>26</v>
      </c>
      <c r="B63" s="8">
        <v>32000</v>
      </c>
      <c r="C63" s="8">
        <v>0</v>
      </c>
    </row>
    <row r="64" spans="1:3" x14ac:dyDescent="0.25">
      <c r="A64" s="8">
        <v>26</v>
      </c>
      <c r="B64" s="8">
        <v>84000</v>
      </c>
      <c r="C64" s="8">
        <v>0</v>
      </c>
    </row>
    <row r="65" spans="1:3" x14ac:dyDescent="0.25">
      <c r="A65" s="8">
        <v>26</v>
      </c>
      <c r="B65" s="8">
        <v>15000</v>
      </c>
      <c r="C65" s="8">
        <v>0</v>
      </c>
    </row>
    <row r="66" spans="1:3" x14ac:dyDescent="0.25">
      <c r="A66" s="8">
        <v>26</v>
      </c>
      <c r="B66" s="8">
        <v>30000</v>
      </c>
      <c r="C66" s="8">
        <v>0</v>
      </c>
    </row>
    <row r="67" spans="1:3" x14ac:dyDescent="0.25">
      <c r="A67" s="8">
        <v>26</v>
      </c>
      <c r="B67" s="8">
        <v>118000</v>
      </c>
      <c r="C67" s="8">
        <v>0</v>
      </c>
    </row>
    <row r="68" spans="1:3" x14ac:dyDescent="0.25">
      <c r="A68" s="8">
        <v>26</v>
      </c>
      <c r="B68" s="8">
        <v>16000</v>
      </c>
      <c r="C68" s="8">
        <v>0</v>
      </c>
    </row>
    <row r="69" spans="1:3" x14ac:dyDescent="0.25">
      <c r="A69" s="8">
        <v>26</v>
      </c>
      <c r="B69" s="8">
        <v>80000</v>
      </c>
      <c r="C69" s="8">
        <v>0</v>
      </c>
    </row>
    <row r="70" spans="1:3" x14ac:dyDescent="0.25">
      <c r="A70" s="8">
        <v>49</v>
      </c>
      <c r="B70" s="8">
        <v>74000</v>
      </c>
      <c r="C70" s="8">
        <v>0</v>
      </c>
    </row>
    <row r="71" spans="1:3" x14ac:dyDescent="0.25">
      <c r="A71" s="8">
        <v>49</v>
      </c>
      <c r="B71" s="8">
        <v>65000</v>
      </c>
      <c r="C71" s="8">
        <v>0</v>
      </c>
    </row>
    <row r="72" spans="1:3" x14ac:dyDescent="0.25">
      <c r="A72" s="8">
        <v>27</v>
      </c>
      <c r="B72" s="8">
        <v>57000</v>
      </c>
      <c r="C72" s="8">
        <v>0</v>
      </c>
    </row>
    <row r="73" spans="1:3" x14ac:dyDescent="0.25">
      <c r="A73" s="8">
        <v>27</v>
      </c>
      <c r="B73" s="8">
        <v>58000</v>
      </c>
      <c r="C73" s="8">
        <v>0</v>
      </c>
    </row>
    <row r="74" spans="1:3" x14ac:dyDescent="0.25">
      <c r="A74" s="8">
        <v>27</v>
      </c>
      <c r="B74" s="8">
        <v>84000</v>
      </c>
      <c r="C74" s="8">
        <v>0</v>
      </c>
    </row>
    <row r="75" spans="1:3" x14ac:dyDescent="0.25">
      <c r="A75" s="8">
        <v>27</v>
      </c>
      <c r="B75" s="8">
        <v>90000</v>
      </c>
      <c r="C75" s="8">
        <v>0</v>
      </c>
    </row>
    <row r="76" spans="1:3" x14ac:dyDescent="0.25">
      <c r="A76" s="8">
        <v>27</v>
      </c>
      <c r="B76" s="8">
        <v>31000</v>
      </c>
      <c r="C76" s="8">
        <v>0</v>
      </c>
    </row>
    <row r="77" spans="1:3" x14ac:dyDescent="0.25">
      <c r="A77" s="8">
        <v>27</v>
      </c>
      <c r="B77" s="8">
        <v>17000</v>
      </c>
      <c r="C77" s="8">
        <v>0</v>
      </c>
    </row>
    <row r="78" spans="1:3" x14ac:dyDescent="0.25">
      <c r="A78" s="8">
        <v>27</v>
      </c>
      <c r="B78" s="8">
        <v>54000</v>
      </c>
      <c r="C78" s="8">
        <v>0</v>
      </c>
    </row>
    <row r="79" spans="1:3" x14ac:dyDescent="0.25">
      <c r="A79" s="8">
        <v>27</v>
      </c>
      <c r="B79" s="8">
        <v>58000</v>
      </c>
      <c r="C79" s="8">
        <v>0</v>
      </c>
    </row>
    <row r="80" spans="1:3" x14ac:dyDescent="0.25">
      <c r="A80" s="8">
        <v>27</v>
      </c>
      <c r="B80" s="8">
        <v>20000</v>
      </c>
      <c r="C80" s="8">
        <v>0</v>
      </c>
    </row>
    <row r="81" spans="1:3" x14ac:dyDescent="0.25">
      <c r="A81" s="8">
        <v>27</v>
      </c>
      <c r="B81" s="8">
        <v>88000</v>
      </c>
      <c r="C81" s="8">
        <v>0</v>
      </c>
    </row>
    <row r="82" spans="1:3" x14ac:dyDescent="0.25">
      <c r="A82" s="8">
        <v>48</v>
      </c>
      <c r="B82" s="8">
        <v>141000</v>
      </c>
      <c r="C82" s="8">
        <v>0</v>
      </c>
    </row>
    <row r="83" spans="1:3" x14ac:dyDescent="0.25">
      <c r="A83" s="8">
        <v>28</v>
      </c>
      <c r="B83" s="8">
        <v>80000</v>
      </c>
      <c r="C83" s="8">
        <v>0</v>
      </c>
    </row>
    <row r="84" spans="1:3" x14ac:dyDescent="0.25">
      <c r="A84" s="8">
        <v>28</v>
      </c>
      <c r="B84" s="8">
        <v>84000</v>
      </c>
      <c r="C84" s="8">
        <v>0</v>
      </c>
    </row>
    <row r="85" spans="1:3" x14ac:dyDescent="0.25">
      <c r="A85" s="8">
        <v>28</v>
      </c>
      <c r="B85" s="8">
        <v>80000</v>
      </c>
      <c r="C85" s="8">
        <v>0</v>
      </c>
    </row>
    <row r="86" spans="1:3" x14ac:dyDescent="0.25">
      <c r="A86" s="8">
        <v>28</v>
      </c>
      <c r="B86" s="8">
        <v>87000</v>
      </c>
      <c r="C86" s="8">
        <v>0</v>
      </c>
    </row>
    <row r="87" spans="1:3" x14ac:dyDescent="0.25">
      <c r="A87" s="8">
        <v>28</v>
      </c>
      <c r="B87" s="8">
        <v>85000</v>
      </c>
      <c r="C87" s="8">
        <v>0</v>
      </c>
    </row>
    <row r="88" spans="1:3" x14ac:dyDescent="0.25">
      <c r="A88" s="8">
        <v>28</v>
      </c>
      <c r="B88" s="8">
        <v>37000</v>
      </c>
      <c r="C88" s="8">
        <v>0</v>
      </c>
    </row>
    <row r="89" spans="1:3" x14ac:dyDescent="0.25">
      <c r="A89" s="8">
        <v>28</v>
      </c>
      <c r="B89" s="8">
        <v>59000</v>
      </c>
      <c r="C89" s="8">
        <v>0</v>
      </c>
    </row>
    <row r="90" spans="1:3" x14ac:dyDescent="0.25">
      <c r="A90" s="8">
        <v>28</v>
      </c>
      <c r="B90" s="8">
        <v>55000</v>
      </c>
      <c r="C90" s="8">
        <v>0</v>
      </c>
    </row>
    <row r="91" spans="1:3" x14ac:dyDescent="0.25">
      <c r="A91" s="8">
        <v>28</v>
      </c>
      <c r="B91" s="8">
        <v>59000</v>
      </c>
      <c r="C91" s="8">
        <v>0</v>
      </c>
    </row>
    <row r="92" spans="1:3" x14ac:dyDescent="0.25">
      <c r="A92" s="8">
        <v>28</v>
      </c>
      <c r="B92" s="8">
        <v>32000</v>
      </c>
      <c r="C92" s="8">
        <v>0</v>
      </c>
    </row>
    <row r="93" spans="1:3" x14ac:dyDescent="0.25">
      <c r="A93" s="8">
        <v>28</v>
      </c>
      <c r="B93" s="8">
        <v>89000</v>
      </c>
      <c r="C93" s="8">
        <v>0</v>
      </c>
    </row>
    <row r="94" spans="1:3" x14ac:dyDescent="0.25">
      <c r="A94" s="8">
        <v>47</v>
      </c>
      <c r="B94" s="8">
        <v>47000</v>
      </c>
      <c r="C94" s="8">
        <v>0</v>
      </c>
    </row>
    <row r="95" spans="1:3" x14ac:dyDescent="0.25">
      <c r="A95" s="8">
        <v>47</v>
      </c>
      <c r="B95" s="8">
        <v>80000</v>
      </c>
      <c r="C95" s="8">
        <v>0</v>
      </c>
    </row>
    <row r="96" spans="1:3" x14ac:dyDescent="0.25">
      <c r="A96" s="8">
        <v>29</v>
      </c>
      <c r="B96" s="8">
        <v>80000</v>
      </c>
      <c r="C96" s="8">
        <v>0</v>
      </c>
    </row>
    <row r="97" spans="1:3" x14ac:dyDescent="0.25">
      <c r="A97" s="8">
        <v>29</v>
      </c>
      <c r="B97" s="8">
        <v>43000</v>
      </c>
      <c r="C97" s="8">
        <v>0</v>
      </c>
    </row>
    <row r="98" spans="1:3" x14ac:dyDescent="0.25">
      <c r="A98" s="8">
        <v>29</v>
      </c>
      <c r="B98" s="8">
        <v>83000</v>
      </c>
      <c r="C98" s="8">
        <v>0</v>
      </c>
    </row>
    <row r="99" spans="1:3" x14ac:dyDescent="0.25">
      <c r="A99" s="8">
        <v>29</v>
      </c>
      <c r="B99" s="8">
        <v>28000</v>
      </c>
      <c r="C99" s="8">
        <v>0</v>
      </c>
    </row>
    <row r="100" spans="1:3" x14ac:dyDescent="0.25">
      <c r="A100" s="8">
        <v>29</v>
      </c>
      <c r="B100" s="8">
        <v>83000</v>
      </c>
      <c r="C100" s="8">
        <v>0</v>
      </c>
    </row>
    <row r="101" spans="1:3" x14ac:dyDescent="0.25">
      <c r="A101" s="8">
        <v>29</v>
      </c>
      <c r="B101" s="8">
        <v>61000</v>
      </c>
      <c r="C101" s="8">
        <v>0</v>
      </c>
    </row>
    <row r="102" spans="1:3" x14ac:dyDescent="0.25">
      <c r="A102" s="8">
        <v>29</v>
      </c>
      <c r="B102" s="8">
        <v>75000</v>
      </c>
      <c r="C102" s="8">
        <v>0</v>
      </c>
    </row>
    <row r="103" spans="1:3" x14ac:dyDescent="0.25">
      <c r="A103" s="8">
        <v>29</v>
      </c>
      <c r="B103" s="8">
        <v>47000</v>
      </c>
      <c r="C103" s="8">
        <v>0</v>
      </c>
    </row>
    <row r="104" spans="1:3" x14ac:dyDescent="0.25">
      <c r="A104" s="8">
        <v>29</v>
      </c>
      <c r="B104" s="8">
        <v>43000</v>
      </c>
      <c r="C104" s="8">
        <v>0</v>
      </c>
    </row>
    <row r="105" spans="1:3" x14ac:dyDescent="0.25">
      <c r="A105" s="8">
        <v>46</v>
      </c>
      <c r="B105" s="8">
        <v>59000</v>
      </c>
      <c r="C105" s="8">
        <v>0</v>
      </c>
    </row>
    <row r="106" spans="1:3" x14ac:dyDescent="0.25">
      <c r="A106" s="8">
        <v>46</v>
      </c>
      <c r="B106" s="8">
        <v>22000</v>
      </c>
      <c r="C106" s="8">
        <v>0</v>
      </c>
    </row>
    <row r="107" spans="1:3" x14ac:dyDescent="0.25">
      <c r="A107" s="8">
        <v>46</v>
      </c>
      <c r="B107" s="8">
        <v>96000</v>
      </c>
      <c r="C107" s="8">
        <v>0</v>
      </c>
    </row>
    <row r="108" spans="1:3" x14ac:dyDescent="0.25">
      <c r="A108" s="8">
        <v>46</v>
      </c>
      <c r="B108" s="8">
        <v>82000</v>
      </c>
      <c r="C108" s="8">
        <v>0</v>
      </c>
    </row>
    <row r="109" spans="1:3" x14ac:dyDescent="0.25">
      <c r="A109" s="8">
        <v>46</v>
      </c>
      <c r="B109" s="8">
        <v>74000</v>
      </c>
      <c r="C109" s="8">
        <v>0</v>
      </c>
    </row>
    <row r="110" spans="1:3" x14ac:dyDescent="0.25">
      <c r="A110" s="8">
        <v>30</v>
      </c>
      <c r="B110" s="8">
        <v>49000</v>
      </c>
      <c r="C110" s="8">
        <v>0</v>
      </c>
    </row>
    <row r="111" spans="1:3" x14ac:dyDescent="0.25">
      <c r="A111" s="8">
        <v>30</v>
      </c>
      <c r="B111" s="8">
        <v>15000</v>
      </c>
      <c r="C111" s="8">
        <v>0</v>
      </c>
    </row>
    <row r="112" spans="1:3" x14ac:dyDescent="0.25">
      <c r="A112" s="8">
        <v>30</v>
      </c>
      <c r="B112" s="8">
        <v>80000</v>
      </c>
      <c r="C112" s="8">
        <v>0</v>
      </c>
    </row>
    <row r="113" spans="1:3" x14ac:dyDescent="0.25">
      <c r="A113" s="8">
        <v>30</v>
      </c>
      <c r="B113" s="8">
        <v>62000</v>
      </c>
      <c r="C113" s="8">
        <v>0</v>
      </c>
    </row>
    <row r="114" spans="1:3" x14ac:dyDescent="0.25">
      <c r="A114" s="8">
        <v>30</v>
      </c>
      <c r="B114" s="8">
        <v>116000</v>
      </c>
      <c r="C114" s="8">
        <v>0</v>
      </c>
    </row>
    <row r="115" spans="1:3" x14ac:dyDescent="0.25">
      <c r="A115" s="8">
        <v>30</v>
      </c>
      <c r="B115" s="8">
        <v>80000</v>
      </c>
      <c r="C115" s="8">
        <v>0</v>
      </c>
    </row>
    <row r="116" spans="1:3" x14ac:dyDescent="0.25">
      <c r="A116" s="8">
        <v>30</v>
      </c>
      <c r="B116" s="8">
        <v>87000</v>
      </c>
      <c r="C116" s="8">
        <v>0</v>
      </c>
    </row>
    <row r="117" spans="1:3" x14ac:dyDescent="0.25">
      <c r="A117" s="8">
        <v>30</v>
      </c>
      <c r="B117" s="8">
        <v>89000</v>
      </c>
      <c r="C117" s="8">
        <v>0</v>
      </c>
    </row>
    <row r="118" spans="1:3" x14ac:dyDescent="0.25">
      <c r="A118" s="8">
        <v>30</v>
      </c>
      <c r="B118" s="8">
        <v>79000</v>
      </c>
      <c r="C118" s="8">
        <v>0</v>
      </c>
    </row>
    <row r="119" spans="1:3" x14ac:dyDescent="0.25">
      <c r="A119" s="8">
        <v>45</v>
      </c>
      <c r="B119" s="8">
        <v>79000</v>
      </c>
      <c r="C119" s="8">
        <v>0</v>
      </c>
    </row>
    <row r="120" spans="1:3" x14ac:dyDescent="0.25">
      <c r="A120" s="8">
        <v>31</v>
      </c>
      <c r="B120" s="8">
        <v>18000</v>
      </c>
      <c r="C120" s="8">
        <v>0</v>
      </c>
    </row>
    <row r="121" spans="1:3" x14ac:dyDescent="0.25">
      <c r="A121" s="8">
        <v>31</v>
      </c>
      <c r="B121" s="8">
        <v>74000</v>
      </c>
      <c r="C121" s="8">
        <v>0</v>
      </c>
    </row>
    <row r="122" spans="1:3" x14ac:dyDescent="0.25">
      <c r="A122" s="8">
        <v>31</v>
      </c>
      <c r="B122" s="8">
        <v>89000</v>
      </c>
      <c r="C122" s="8">
        <v>0</v>
      </c>
    </row>
    <row r="123" spans="1:3" x14ac:dyDescent="0.25">
      <c r="A123" s="8">
        <v>31</v>
      </c>
      <c r="B123" s="8">
        <v>68000</v>
      </c>
      <c r="C123" s="8">
        <v>0</v>
      </c>
    </row>
    <row r="124" spans="1:3" x14ac:dyDescent="0.25">
      <c r="A124" s="8">
        <v>31</v>
      </c>
      <c r="B124" s="8">
        <v>58000</v>
      </c>
      <c r="C124" s="8">
        <v>0</v>
      </c>
    </row>
    <row r="125" spans="1:3" x14ac:dyDescent="0.25">
      <c r="A125" s="8">
        <v>31</v>
      </c>
      <c r="B125" s="8">
        <v>76000</v>
      </c>
      <c r="C125" s="8">
        <v>0</v>
      </c>
    </row>
    <row r="126" spans="1:3" x14ac:dyDescent="0.25">
      <c r="A126" s="8">
        <v>31</v>
      </c>
      <c r="B126" s="8">
        <v>15000</v>
      </c>
      <c r="C126" s="8">
        <v>0</v>
      </c>
    </row>
    <row r="127" spans="1:3" x14ac:dyDescent="0.25">
      <c r="A127" s="8">
        <v>31</v>
      </c>
      <c r="B127" s="8">
        <v>34000</v>
      </c>
      <c r="C127" s="8">
        <v>0</v>
      </c>
    </row>
    <row r="128" spans="1:3" x14ac:dyDescent="0.25">
      <c r="A128" s="8">
        <v>31</v>
      </c>
      <c r="B128" s="8">
        <v>71000</v>
      </c>
      <c r="C128" s="8">
        <v>0</v>
      </c>
    </row>
    <row r="129" spans="1:3" x14ac:dyDescent="0.25">
      <c r="A129" s="8">
        <v>31</v>
      </c>
      <c r="B129" s="8">
        <v>66000</v>
      </c>
      <c r="C129" s="8">
        <v>0</v>
      </c>
    </row>
    <row r="130" spans="1:3" x14ac:dyDescent="0.25">
      <c r="A130" s="8">
        <v>44</v>
      </c>
      <c r="B130" s="8">
        <v>39000</v>
      </c>
      <c r="C130" s="8">
        <v>0</v>
      </c>
    </row>
    <row r="131" spans="1:3" x14ac:dyDescent="0.25">
      <c r="A131" s="8">
        <v>32</v>
      </c>
      <c r="B131" s="8">
        <v>18000</v>
      </c>
      <c r="C131" s="8">
        <v>0</v>
      </c>
    </row>
    <row r="132" spans="1:3" x14ac:dyDescent="0.25">
      <c r="A132" s="8">
        <v>32</v>
      </c>
      <c r="B132" s="8">
        <v>18000</v>
      </c>
      <c r="C132" s="8">
        <v>0</v>
      </c>
    </row>
    <row r="133" spans="1:3" x14ac:dyDescent="0.25">
      <c r="A133" s="8">
        <v>32</v>
      </c>
      <c r="B133" s="8">
        <v>86000</v>
      </c>
      <c r="C133" s="8">
        <v>0</v>
      </c>
    </row>
    <row r="134" spans="1:3" x14ac:dyDescent="0.25">
      <c r="A134" s="8">
        <v>43</v>
      </c>
      <c r="B134" s="8">
        <v>80000</v>
      </c>
      <c r="C134" s="8">
        <v>0</v>
      </c>
    </row>
    <row r="135" spans="1:3" x14ac:dyDescent="0.25">
      <c r="A135" s="8">
        <v>33</v>
      </c>
      <c r="B135" s="8">
        <v>28000</v>
      </c>
      <c r="C135" s="8">
        <v>0</v>
      </c>
    </row>
    <row r="136" spans="1:3" x14ac:dyDescent="0.25">
      <c r="A136" s="8">
        <v>33</v>
      </c>
      <c r="B136" s="8">
        <v>51000</v>
      </c>
      <c r="C136" s="8">
        <v>0</v>
      </c>
    </row>
    <row r="137" spans="1:3" x14ac:dyDescent="0.25">
      <c r="A137" s="8">
        <v>33</v>
      </c>
      <c r="B137" s="8">
        <v>113000</v>
      </c>
      <c r="C137" s="8">
        <v>0</v>
      </c>
    </row>
    <row r="138" spans="1:3" x14ac:dyDescent="0.25">
      <c r="A138" s="8">
        <v>33</v>
      </c>
      <c r="B138" s="8">
        <v>31000</v>
      </c>
      <c r="C138" s="8">
        <v>0</v>
      </c>
    </row>
    <row r="139" spans="1:3" x14ac:dyDescent="0.25">
      <c r="A139" s="8">
        <v>33</v>
      </c>
      <c r="B139" s="8">
        <v>69000</v>
      </c>
      <c r="C139" s="8">
        <v>0</v>
      </c>
    </row>
    <row r="140" spans="1:3" x14ac:dyDescent="0.25">
      <c r="A140" s="8">
        <v>33</v>
      </c>
      <c r="B140" s="8">
        <v>43000</v>
      </c>
      <c r="C140" s="8">
        <v>0</v>
      </c>
    </row>
    <row r="141" spans="1:3" x14ac:dyDescent="0.25">
      <c r="A141" s="8">
        <v>33</v>
      </c>
      <c r="B141" s="8">
        <v>60000</v>
      </c>
      <c r="C141" s="8">
        <v>0</v>
      </c>
    </row>
    <row r="142" spans="1:3" x14ac:dyDescent="0.25">
      <c r="A142" s="8">
        <v>33</v>
      </c>
      <c r="B142" s="8">
        <v>41000</v>
      </c>
      <c r="C142" s="8">
        <v>0</v>
      </c>
    </row>
    <row r="143" spans="1:3" x14ac:dyDescent="0.25">
      <c r="A143" s="8">
        <v>42</v>
      </c>
      <c r="B143" s="8">
        <v>80000</v>
      </c>
      <c r="C143" s="8">
        <v>0</v>
      </c>
    </row>
    <row r="144" spans="1:3" x14ac:dyDescent="0.25">
      <c r="A144" s="8">
        <v>42</v>
      </c>
      <c r="B144" s="8">
        <v>65000</v>
      </c>
      <c r="C144" s="8">
        <v>0</v>
      </c>
    </row>
    <row r="145" spans="1:3" x14ac:dyDescent="0.25">
      <c r="A145" s="8">
        <v>42</v>
      </c>
      <c r="B145" s="8">
        <v>54000</v>
      </c>
      <c r="C145" s="8">
        <v>0</v>
      </c>
    </row>
    <row r="146" spans="1:3" x14ac:dyDescent="0.25">
      <c r="A146" s="8">
        <v>42</v>
      </c>
      <c r="B146" s="8">
        <v>70000</v>
      </c>
      <c r="C146" s="8">
        <v>0</v>
      </c>
    </row>
    <row r="147" spans="1:3" x14ac:dyDescent="0.25">
      <c r="A147" s="8">
        <v>42</v>
      </c>
      <c r="B147" s="8">
        <v>75000</v>
      </c>
      <c r="C147" s="8">
        <v>0</v>
      </c>
    </row>
    <row r="148" spans="1:3" x14ac:dyDescent="0.25">
      <c r="A148" s="8">
        <v>42</v>
      </c>
      <c r="B148" s="8">
        <v>65000</v>
      </c>
      <c r="C148" s="8">
        <v>0</v>
      </c>
    </row>
    <row r="149" spans="1:3" x14ac:dyDescent="0.25">
      <c r="A149" s="8">
        <v>42</v>
      </c>
      <c r="B149" s="8">
        <v>54000</v>
      </c>
      <c r="C149" s="8">
        <v>0</v>
      </c>
    </row>
    <row r="150" spans="1:3" x14ac:dyDescent="0.25">
      <c r="A150" s="8">
        <v>42</v>
      </c>
      <c r="B150" s="8">
        <v>53000</v>
      </c>
      <c r="C150" s="8">
        <v>0</v>
      </c>
    </row>
    <row r="151" spans="1:3" x14ac:dyDescent="0.25">
      <c r="A151" s="8">
        <v>42</v>
      </c>
      <c r="B151" s="8">
        <v>64000</v>
      </c>
      <c r="C151" s="8">
        <v>0</v>
      </c>
    </row>
    <row r="152" spans="1:3" x14ac:dyDescent="0.25">
      <c r="A152" s="8">
        <v>34</v>
      </c>
      <c r="B152" s="8">
        <v>117000</v>
      </c>
      <c r="C152" s="8">
        <v>0</v>
      </c>
    </row>
    <row r="153" spans="1:3" x14ac:dyDescent="0.25">
      <c r="A153" s="8">
        <v>34</v>
      </c>
      <c r="B153" s="8">
        <v>89000</v>
      </c>
      <c r="C153" s="8">
        <v>0</v>
      </c>
    </row>
    <row r="154" spans="1:3" x14ac:dyDescent="0.25">
      <c r="A154" s="8">
        <v>34</v>
      </c>
      <c r="B154" s="8">
        <v>85000</v>
      </c>
      <c r="C154" s="8">
        <v>0</v>
      </c>
    </row>
    <row r="155" spans="1:3" x14ac:dyDescent="0.25">
      <c r="A155" s="8">
        <v>34</v>
      </c>
      <c r="B155" s="8">
        <v>25000</v>
      </c>
      <c r="C155" s="8">
        <v>0</v>
      </c>
    </row>
    <row r="156" spans="1:3" x14ac:dyDescent="0.25">
      <c r="A156" s="8">
        <v>34</v>
      </c>
      <c r="B156" s="8">
        <v>80000</v>
      </c>
      <c r="C156" s="8">
        <v>0</v>
      </c>
    </row>
    <row r="157" spans="1:3" x14ac:dyDescent="0.25">
      <c r="A157" s="8">
        <v>34</v>
      </c>
      <c r="B157" s="8">
        <v>115000</v>
      </c>
      <c r="C157" s="8">
        <v>0</v>
      </c>
    </row>
    <row r="158" spans="1:3" x14ac:dyDescent="0.25">
      <c r="A158" s="8">
        <v>34</v>
      </c>
      <c r="B158" s="8">
        <v>43000</v>
      </c>
      <c r="C158" s="8">
        <v>0</v>
      </c>
    </row>
    <row r="159" spans="1:3" x14ac:dyDescent="0.25">
      <c r="A159" s="8">
        <v>34</v>
      </c>
      <c r="B159" s="8">
        <v>72000</v>
      </c>
      <c r="C159" s="8">
        <v>0</v>
      </c>
    </row>
    <row r="160" spans="1:3" x14ac:dyDescent="0.25">
      <c r="A160" s="8">
        <v>34</v>
      </c>
      <c r="B160" s="8">
        <v>43000</v>
      </c>
      <c r="C160" s="8">
        <v>0</v>
      </c>
    </row>
    <row r="161" spans="1:3" x14ac:dyDescent="0.25">
      <c r="A161" s="8">
        <v>34</v>
      </c>
      <c r="B161" s="8">
        <v>22000</v>
      </c>
      <c r="C161" s="8">
        <v>0</v>
      </c>
    </row>
    <row r="162" spans="1:3" x14ac:dyDescent="0.25">
      <c r="A162" s="8">
        <v>34</v>
      </c>
      <c r="B162" s="8">
        <v>61000</v>
      </c>
      <c r="C162" s="8">
        <v>0</v>
      </c>
    </row>
    <row r="163" spans="1:3" x14ac:dyDescent="0.25">
      <c r="A163" s="8">
        <v>34</v>
      </c>
      <c r="B163" s="8">
        <v>51000</v>
      </c>
      <c r="C163" s="8">
        <v>0</v>
      </c>
    </row>
    <row r="164" spans="1:3" x14ac:dyDescent="0.25">
      <c r="A164" s="8">
        <v>34</v>
      </c>
      <c r="B164" s="8">
        <v>65000</v>
      </c>
      <c r="C164" s="8">
        <v>0</v>
      </c>
    </row>
    <row r="165" spans="1:3" x14ac:dyDescent="0.25">
      <c r="A165" s="8">
        <v>34</v>
      </c>
      <c r="B165" s="8">
        <v>79000</v>
      </c>
      <c r="C165" s="8">
        <v>0</v>
      </c>
    </row>
    <row r="166" spans="1:3" x14ac:dyDescent="0.25">
      <c r="A166" s="8">
        <v>41</v>
      </c>
      <c r="B166" s="8">
        <v>59000</v>
      </c>
      <c r="C166" s="8">
        <v>0</v>
      </c>
    </row>
    <row r="167" spans="1:3" x14ac:dyDescent="0.25">
      <c r="A167" s="8">
        <v>41</v>
      </c>
      <c r="B167" s="8">
        <v>51000</v>
      </c>
      <c r="C167" s="8">
        <v>0</v>
      </c>
    </row>
    <row r="168" spans="1:3" x14ac:dyDescent="0.25">
      <c r="A168" s="8">
        <v>41</v>
      </c>
      <c r="B168" s="8">
        <v>30000</v>
      </c>
      <c r="C168" s="8">
        <v>0</v>
      </c>
    </row>
    <row r="169" spans="1:3" x14ac:dyDescent="0.25">
      <c r="A169" s="8">
        <v>41</v>
      </c>
      <c r="B169" s="8">
        <v>45000</v>
      </c>
      <c r="C169" s="8">
        <v>0</v>
      </c>
    </row>
    <row r="170" spans="1:3" x14ac:dyDescent="0.25">
      <c r="A170" s="8">
        <v>41</v>
      </c>
      <c r="B170" s="8">
        <v>71000</v>
      </c>
      <c r="C170" s="8">
        <v>0</v>
      </c>
    </row>
    <row r="171" spans="1:3" x14ac:dyDescent="0.25">
      <c r="A171" s="8">
        <v>41</v>
      </c>
      <c r="B171" s="8">
        <v>80000</v>
      </c>
      <c r="C171" s="8">
        <v>0</v>
      </c>
    </row>
    <row r="172" spans="1:3" x14ac:dyDescent="0.25">
      <c r="A172" s="8">
        <v>41</v>
      </c>
      <c r="B172" s="8">
        <v>72000</v>
      </c>
      <c r="C172" s="8">
        <v>0</v>
      </c>
    </row>
    <row r="173" spans="1:3" x14ac:dyDescent="0.25">
      <c r="A173" s="8">
        <v>41</v>
      </c>
      <c r="B173" s="8">
        <v>52000</v>
      </c>
      <c r="C173" s="8">
        <v>0</v>
      </c>
    </row>
    <row r="174" spans="1:3" x14ac:dyDescent="0.25">
      <c r="A174" s="8">
        <v>41</v>
      </c>
      <c r="B174" s="8">
        <v>72000</v>
      </c>
      <c r="C174" s="8">
        <v>0</v>
      </c>
    </row>
    <row r="175" spans="1:3" x14ac:dyDescent="0.25">
      <c r="A175" s="8">
        <v>41</v>
      </c>
      <c r="B175" s="8">
        <v>79000</v>
      </c>
      <c r="C175" s="8">
        <v>0</v>
      </c>
    </row>
    <row r="176" spans="1:3" x14ac:dyDescent="0.25">
      <c r="A176" s="8">
        <v>41</v>
      </c>
      <c r="B176" s="8">
        <v>52000</v>
      </c>
      <c r="C176" s="8">
        <v>0</v>
      </c>
    </row>
    <row r="177" spans="1:3" x14ac:dyDescent="0.25">
      <c r="A177" s="8">
        <v>41</v>
      </c>
      <c r="B177" s="8">
        <v>60000</v>
      </c>
      <c r="C177" s="8">
        <v>0</v>
      </c>
    </row>
    <row r="178" spans="1:3" x14ac:dyDescent="0.25">
      <c r="A178" s="8">
        <v>41</v>
      </c>
      <c r="B178" s="8">
        <v>72000</v>
      </c>
      <c r="C178" s="8">
        <v>0</v>
      </c>
    </row>
    <row r="179" spans="1:3" x14ac:dyDescent="0.25">
      <c r="A179" s="8">
        <v>41</v>
      </c>
      <c r="B179" s="8">
        <v>63000</v>
      </c>
      <c r="C179" s="8">
        <v>0</v>
      </c>
    </row>
    <row r="180" spans="1:3" x14ac:dyDescent="0.25">
      <c r="A180" s="8">
        <v>41</v>
      </c>
      <c r="B180" s="8">
        <v>72000</v>
      </c>
      <c r="C180" s="8">
        <v>0</v>
      </c>
    </row>
    <row r="181" spans="1:3" x14ac:dyDescent="0.25">
      <c r="A181" s="8">
        <v>35</v>
      </c>
      <c r="B181" s="8">
        <v>20000</v>
      </c>
      <c r="C181" s="8">
        <v>0</v>
      </c>
    </row>
    <row r="182" spans="1:3" x14ac:dyDescent="0.25">
      <c r="A182" s="8">
        <v>35</v>
      </c>
      <c r="B182" s="8">
        <v>65000</v>
      </c>
      <c r="C182" s="8">
        <v>0</v>
      </c>
    </row>
    <row r="183" spans="1:3" x14ac:dyDescent="0.25">
      <c r="A183" s="8">
        <v>35</v>
      </c>
      <c r="B183" s="8">
        <v>27000</v>
      </c>
      <c r="C183" s="8">
        <v>0</v>
      </c>
    </row>
    <row r="184" spans="1:3" x14ac:dyDescent="0.25">
      <c r="A184" s="8">
        <v>35</v>
      </c>
      <c r="B184" s="8">
        <v>108000</v>
      </c>
      <c r="C184" s="8">
        <v>0</v>
      </c>
    </row>
    <row r="185" spans="1:3" x14ac:dyDescent="0.25">
      <c r="A185" s="8">
        <v>35</v>
      </c>
      <c r="B185" s="8">
        <v>23000</v>
      </c>
      <c r="C185" s="8">
        <v>0</v>
      </c>
    </row>
    <row r="186" spans="1:3" x14ac:dyDescent="0.25">
      <c r="A186" s="8">
        <v>35</v>
      </c>
      <c r="B186" s="8">
        <v>88000</v>
      </c>
      <c r="C186" s="8">
        <v>0</v>
      </c>
    </row>
    <row r="187" spans="1:3" x14ac:dyDescent="0.25">
      <c r="A187" s="8">
        <v>35</v>
      </c>
      <c r="B187" s="8">
        <v>50000</v>
      </c>
      <c r="C187" s="8">
        <v>0</v>
      </c>
    </row>
    <row r="188" spans="1:3" x14ac:dyDescent="0.25">
      <c r="A188" s="8">
        <v>35</v>
      </c>
      <c r="B188" s="8">
        <v>44000</v>
      </c>
      <c r="C188" s="8">
        <v>0</v>
      </c>
    </row>
    <row r="189" spans="1:3" x14ac:dyDescent="0.25">
      <c r="A189" s="8">
        <v>35</v>
      </c>
      <c r="B189" s="8">
        <v>25000</v>
      </c>
      <c r="C189" s="8">
        <v>0</v>
      </c>
    </row>
    <row r="190" spans="1:3" x14ac:dyDescent="0.25">
      <c r="A190" s="8">
        <v>35</v>
      </c>
      <c r="B190" s="8">
        <v>80000</v>
      </c>
      <c r="C190" s="8">
        <v>0</v>
      </c>
    </row>
    <row r="191" spans="1:3" x14ac:dyDescent="0.25">
      <c r="A191" s="8">
        <v>35</v>
      </c>
      <c r="B191" s="8">
        <v>75000</v>
      </c>
      <c r="C191" s="8">
        <v>0</v>
      </c>
    </row>
    <row r="192" spans="1:3" x14ac:dyDescent="0.25">
      <c r="A192" s="8">
        <v>35</v>
      </c>
      <c r="B192" s="8">
        <v>53000</v>
      </c>
      <c r="C192" s="8">
        <v>0</v>
      </c>
    </row>
    <row r="193" spans="1:3" x14ac:dyDescent="0.25">
      <c r="A193" s="8">
        <v>35</v>
      </c>
      <c r="B193" s="8">
        <v>59000</v>
      </c>
      <c r="C193" s="8">
        <v>0</v>
      </c>
    </row>
    <row r="194" spans="1:3" x14ac:dyDescent="0.25">
      <c r="A194" s="8">
        <v>35</v>
      </c>
      <c r="B194" s="8">
        <v>38000</v>
      </c>
      <c r="C194" s="8">
        <v>0</v>
      </c>
    </row>
    <row r="195" spans="1:3" x14ac:dyDescent="0.25">
      <c r="A195" s="8">
        <v>35</v>
      </c>
      <c r="B195" s="8">
        <v>71000</v>
      </c>
      <c r="C195" s="8">
        <v>0</v>
      </c>
    </row>
    <row r="196" spans="1:3" x14ac:dyDescent="0.25">
      <c r="A196" s="8">
        <v>35</v>
      </c>
      <c r="B196" s="8">
        <v>47000</v>
      </c>
      <c r="C196" s="8">
        <v>0</v>
      </c>
    </row>
    <row r="197" spans="1:3" x14ac:dyDescent="0.25">
      <c r="A197" s="8">
        <v>35</v>
      </c>
      <c r="B197" s="8">
        <v>80000</v>
      </c>
      <c r="C197" s="8">
        <v>0</v>
      </c>
    </row>
    <row r="198" spans="1:3" x14ac:dyDescent="0.25">
      <c r="A198" s="8">
        <v>35</v>
      </c>
      <c r="B198" s="8">
        <v>39000</v>
      </c>
      <c r="C198" s="8">
        <v>0</v>
      </c>
    </row>
    <row r="199" spans="1:3" x14ac:dyDescent="0.25">
      <c r="A199" s="8">
        <v>35</v>
      </c>
      <c r="B199" s="8">
        <v>58000</v>
      </c>
      <c r="C199" s="8">
        <v>0</v>
      </c>
    </row>
    <row r="200" spans="1:3" x14ac:dyDescent="0.25">
      <c r="A200" s="8">
        <v>35</v>
      </c>
      <c r="B200" s="8">
        <v>60000</v>
      </c>
      <c r="C200" s="8">
        <v>0</v>
      </c>
    </row>
    <row r="201" spans="1:3" x14ac:dyDescent="0.25">
      <c r="A201" s="8">
        <v>35</v>
      </c>
      <c r="B201" s="8">
        <v>50000</v>
      </c>
      <c r="C201" s="8">
        <v>0</v>
      </c>
    </row>
    <row r="202" spans="1:3" x14ac:dyDescent="0.25">
      <c r="A202" s="8">
        <v>35</v>
      </c>
      <c r="B202" s="8">
        <v>77000</v>
      </c>
      <c r="C202" s="8">
        <v>0</v>
      </c>
    </row>
    <row r="203" spans="1:3" x14ac:dyDescent="0.25">
      <c r="A203" s="8">
        <v>35</v>
      </c>
      <c r="B203" s="8">
        <v>72000</v>
      </c>
      <c r="C203" s="8">
        <v>0</v>
      </c>
    </row>
    <row r="204" spans="1:3" x14ac:dyDescent="0.25">
      <c r="A204" s="8">
        <v>35</v>
      </c>
      <c r="B204" s="8">
        <v>61000</v>
      </c>
      <c r="C204" s="8">
        <v>0</v>
      </c>
    </row>
    <row r="205" spans="1:3" x14ac:dyDescent="0.25">
      <c r="A205" s="8">
        <v>35</v>
      </c>
      <c r="B205" s="8">
        <v>57000</v>
      </c>
      <c r="C205" s="8">
        <v>0</v>
      </c>
    </row>
    <row r="206" spans="1:3" x14ac:dyDescent="0.25">
      <c r="A206" s="8">
        <v>35</v>
      </c>
      <c r="B206" s="8">
        <v>55000</v>
      </c>
      <c r="C206" s="8">
        <v>0</v>
      </c>
    </row>
    <row r="207" spans="1:3" x14ac:dyDescent="0.25">
      <c r="A207" s="8">
        <v>35</v>
      </c>
      <c r="B207" s="8">
        <v>79000</v>
      </c>
      <c r="C207" s="8">
        <v>0</v>
      </c>
    </row>
    <row r="208" spans="1:3" x14ac:dyDescent="0.25">
      <c r="A208" s="8">
        <v>35</v>
      </c>
      <c r="B208" s="8">
        <v>75000</v>
      </c>
      <c r="C208" s="8">
        <v>0</v>
      </c>
    </row>
    <row r="209" spans="1:3" x14ac:dyDescent="0.25">
      <c r="A209" s="8">
        <v>40</v>
      </c>
      <c r="B209" s="8">
        <v>57000</v>
      </c>
      <c r="C209" s="8">
        <v>0</v>
      </c>
    </row>
    <row r="210" spans="1:3" x14ac:dyDescent="0.25">
      <c r="A210" s="8">
        <v>40</v>
      </c>
      <c r="B210" s="8">
        <v>59000</v>
      </c>
      <c r="C210" s="8">
        <v>0</v>
      </c>
    </row>
    <row r="211" spans="1:3" x14ac:dyDescent="0.25">
      <c r="A211" s="8">
        <v>40</v>
      </c>
      <c r="B211" s="8">
        <v>75000</v>
      </c>
      <c r="C211" s="8">
        <v>0</v>
      </c>
    </row>
    <row r="212" spans="1:3" x14ac:dyDescent="0.25">
      <c r="A212" s="8">
        <v>40</v>
      </c>
      <c r="B212" s="8">
        <v>47000</v>
      </c>
      <c r="C212" s="8">
        <v>0</v>
      </c>
    </row>
    <row r="213" spans="1:3" x14ac:dyDescent="0.25">
      <c r="A213" s="8">
        <v>40</v>
      </c>
      <c r="B213" s="8">
        <v>78000</v>
      </c>
      <c r="C213" s="8">
        <v>0</v>
      </c>
    </row>
    <row r="214" spans="1:3" x14ac:dyDescent="0.25">
      <c r="A214" s="8">
        <v>40</v>
      </c>
      <c r="B214" s="8">
        <v>72000</v>
      </c>
      <c r="C214" s="8">
        <v>0</v>
      </c>
    </row>
    <row r="215" spans="1:3" x14ac:dyDescent="0.25">
      <c r="A215" s="8">
        <v>40</v>
      </c>
      <c r="B215" s="8">
        <v>57000</v>
      </c>
      <c r="C215" s="8">
        <v>0</v>
      </c>
    </row>
    <row r="216" spans="1:3" x14ac:dyDescent="0.25">
      <c r="A216" s="8">
        <v>40</v>
      </c>
      <c r="B216" s="8">
        <v>57000</v>
      </c>
      <c r="C216" s="8">
        <v>0</v>
      </c>
    </row>
    <row r="217" spans="1:3" x14ac:dyDescent="0.25">
      <c r="A217" s="8">
        <v>40</v>
      </c>
      <c r="B217" s="8">
        <v>75000</v>
      </c>
      <c r="C217" s="8">
        <v>0</v>
      </c>
    </row>
    <row r="218" spans="1:3" x14ac:dyDescent="0.25">
      <c r="A218" s="8">
        <v>40</v>
      </c>
      <c r="B218" s="8">
        <v>60000</v>
      </c>
      <c r="C218" s="8">
        <v>0</v>
      </c>
    </row>
    <row r="219" spans="1:3" x14ac:dyDescent="0.25">
      <c r="A219" s="8">
        <v>40</v>
      </c>
      <c r="B219" s="8">
        <v>65000</v>
      </c>
      <c r="C219" s="8">
        <v>0</v>
      </c>
    </row>
    <row r="220" spans="1:3" x14ac:dyDescent="0.25">
      <c r="A220" s="8">
        <v>36</v>
      </c>
      <c r="B220" s="8">
        <v>52000</v>
      </c>
      <c r="C220" s="8">
        <v>0</v>
      </c>
    </row>
    <row r="221" spans="1:3" x14ac:dyDescent="0.25">
      <c r="A221" s="8">
        <v>36</v>
      </c>
      <c r="B221" s="8">
        <v>75000</v>
      </c>
      <c r="C221" s="8">
        <v>0</v>
      </c>
    </row>
    <row r="222" spans="1:3" x14ac:dyDescent="0.25">
      <c r="A222" s="8">
        <v>36</v>
      </c>
      <c r="B222" s="8">
        <v>50000</v>
      </c>
      <c r="C222" s="8">
        <v>0</v>
      </c>
    </row>
    <row r="223" spans="1:3" x14ac:dyDescent="0.25">
      <c r="A223" s="8">
        <v>36</v>
      </c>
      <c r="B223" s="8">
        <v>63000</v>
      </c>
      <c r="C223" s="8">
        <v>0</v>
      </c>
    </row>
    <row r="224" spans="1:3" x14ac:dyDescent="0.25">
      <c r="A224" s="8">
        <v>36</v>
      </c>
      <c r="B224" s="8">
        <v>60000</v>
      </c>
      <c r="C224" s="8">
        <v>0</v>
      </c>
    </row>
    <row r="225" spans="1:3" x14ac:dyDescent="0.25">
      <c r="A225" s="8">
        <v>36</v>
      </c>
      <c r="B225" s="8">
        <v>54000</v>
      </c>
      <c r="C225" s="8">
        <v>0</v>
      </c>
    </row>
    <row r="226" spans="1:3" x14ac:dyDescent="0.25">
      <c r="A226" s="8">
        <v>36</v>
      </c>
      <c r="B226" s="8">
        <v>80000</v>
      </c>
      <c r="C226" s="8">
        <v>0</v>
      </c>
    </row>
    <row r="227" spans="1:3" x14ac:dyDescent="0.25">
      <c r="A227" s="8">
        <v>39</v>
      </c>
      <c r="B227" s="8">
        <v>42000</v>
      </c>
      <c r="C227" s="8">
        <v>0</v>
      </c>
    </row>
    <row r="228" spans="1:3" x14ac:dyDescent="0.25">
      <c r="A228" s="8">
        <v>39</v>
      </c>
      <c r="B228" s="8">
        <v>71000</v>
      </c>
      <c r="C228" s="8">
        <v>0</v>
      </c>
    </row>
    <row r="229" spans="1:3" x14ac:dyDescent="0.25">
      <c r="A229" s="8">
        <v>39</v>
      </c>
      <c r="B229" s="8">
        <v>61000</v>
      </c>
      <c r="C229" s="8">
        <v>0</v>
      </c>
    </row>
    <row r="230" spans="1:3" x14ac:dyDescent="0.25">
      <c r="A230" s="8">
        <v>39</v>
      </c>
      <c r="B230" s="8">
        <v>42000</v>
      </c>
      <c r="C230" s="8">
        <v>0</v>
      </c>
    </row>
    <row r="231" spans="1:3" x14ac:dyDescent="0.25">
      <c r="A231" s="8">
        <v>39</v>
      </c>
      <c r="B231" s="8">
        <v>79000</v>
      </c>
      <c r="C231" s="8">
        <v>0</v>
      </c>
    </row>
    <row r="232" spans="1:3" x14ac:dyDescent="0.25">
      <c r="A232" s="8">
        <v>39</v>
      </c>
      <c r="B232" s="8">
        <v>77000</v>
      </c>
      <c r="C232" s="8">
        <v>0</v>
      </c>
    </row>
    <row r="233" spans="1:3" x14ac:dyDescent="0.25">
      <c r="A233" s="8">
        <v>39</v>
      </c>
      <c r="B233" s="8">
        <v>73000</v>
      </c>
      <c r="C233" s="8">
        <v>0</v>
      </c>
    </row>
    <row r="234" spans="1:3" x14ac:dyDescent="0.25">
      <c r="A234" s="8">
        <v>39</v>
      </c>
      <c r="B234" s="8">
        <v>71000</v>
      </c>
      <c r="C234" s="8">
        <v>0</v>
      </c>
    </row>
    <row r="235" spans="1:3" x14ac:dyDescent="0.25">
      <c r="A235" s="8">
        <v>39</v>
      </c>
      <c r="B235" s="8">
        <v>59000</v>
      </c>
      <c r="C235" s="8">
        <v>0</v>
      </c>
    </row>
    <row r="236" spans="1:3" x14ac:dyDescent="0.25">
      <c r="A236" s="8">
        <v>37</v>
      </c>
      <c r="B236" s="8">
        <v>71000</v>
      </c>
      <c r="C236" s="8">
        <v>0</v>
      </c>
    </row>
    <row r="237" spans="1:3" x14ac:dyDescent="0.25">
      <c r="A237" s="8">
        <v>37</v>
      </c>
      <c r="B237" s="8">
        <v>55000</v>
      </c>
      <c r="C237" s="8">
        <v>0</v>
      </c>
    </row>
    <row r="238" spans="1:3" x14ac:dyDescent="0.25">
      <c r="A238" s="8">
        <v>37</v>
      </c>
      <c r="B238" s="8">
        <v>72000</v>
      </c>
      <c r="C238" s="8">
        <v>0</v>
      </c>
    </row>
    <row r="239" spans="1:3" x14ac:dyDescent="0.25">
      <c r="A239" s="8">
        <v>37</v>
      </c>
      <c r="B239" s="8">
        <v>33000</v>
      </c>
      <c r="C239" s="8">
        <v>0</v>
      </c>
    </row>
    <row r="240" spans="1:3" x14ac:dyDescent="0.25">
      <c r="A240" s="8">
        <v>37</v>
      </c>
      <c r="B240" s="8">
        <v>53000</v>
      </c>
      <c r="C240" s="8">
        <v>0</v>
      </c>
    </row>
    <row r="241" spans="1:3" x14ac:dyDescent="0.25">
      <c r="A241" s="8">
        <v>37</v>
      </c>
      <c r="B241" s="8">
        <v>80000</v>
      </c>
      <c r="C241" s="8">
        <v>0</v>
      </c>
    </row>
    <row r="242" spans="1:3" x14ac:dyDescent="0.25">
      <c r="A242" s="8">
        <v>37</v>
      </c>
      <c r="B242" s="8">
        <v>52000</v>
      </c>
      <c r="C242" s="8">
        <v>0</v>
      </c>
    </row>
    <row r="243" spans="1:3" x14ac:dyDescent="0.25">
      <c r="A243" s="8">
        <v>37</v>
      </c>
      <c r="B243" s="8">
        <v>74000</v>
      </c>
      <c r="C243" s="8">
        <v>0</v>
      </c>
    </row>
    <row r="244" spans="1:3" x14ac:dyDescent="0.25">
      <c r="A244" s="8">
        <v>37</v>
      </c>
      <c r="B244" s="8">
        <v>62000</v>
      </c>
      <c r="C244" s="8">
        <v>0</v>
      </c>
    </row>
    <row r="245" spans="1:3" x14ac:dyDescent="0.25">
      <c r="A245" s="8">
        <v>37</v>
      </c>
      <c r="B245" s="8">
        <v>77000</v>
      </c>
      <c r="C245" s="8">
        <v>0</v>
      </c>
    </row>
    <row r="246" spans="1:3" x14ac:dyDescent="0.25">
      <c r="A246" s="8">
        <v>37</v>
      </c>
      <c r="B246" s="8">
        <v>75000</v>
      </c>
      <c r="C246" s="8">
        <v>0</v>
      </c>
    </row>
    <row r="247" spans="1:3" x14ac:dyDescent="0.25">
      <c r="A247" s="8">
        <v>37</v>
      </c>
      <c r="B247" s="8">
        <v>57000</v>
      </c>
      <c r="C247" s="8">
        <v>0</v>
      </c>
    </row>
    <row r="248" spans="1:3" x14ac:dyDescent="0.25">
      <c r="A248" s="8">
        <v>37</v>
      </c>
      <c r="B248" s="8">
        <v>80000</v>
      </c>
      <c r="C248" s="8">
        <v>0</v>
      </c>
    </row>
    <row r="249" spans="1:3" x14ac:dyDescent="0.25">
      <c r="A249" s="8">
        <v>38</v>
      </c>
      <c r="B249" s="8">
        <v>80000</v>
      </c>
      <c r="C249" s="8">
        <v>0</v>
      </c>
    </row>
    <row r="250" spans="1:3" x14ac:dyDescent="0.25">
      <c r="A250" s="8">
        <v>38</v>
      </c>
      <c r="B250" s="8">
        <v>61000</v>
      </c>
      <c r="C250" s="8">
        <v>0</v>
      </c>
    </row>
    <row r="251" spans="1:3" x14ac:dyDescent="0.25">
      <c r="A251" s="8">
        <v>38</v>
      </c>
      <c r="B251" s="8">
        <v>112000</v>
      </c>
      <c r="C251" s="8">
        <v>0</v>
      </c>
    </row>
    <row r="252" spans="1:3" x14ac:dyDescent="0.25">
      <c r="A252" s="8">
        <v>38</v>
      </c>
      <c r="B252" s="8">
        <v>59000</v>
      </c>
      <c r="C252" s="8">
        <v>0</v>
      </c>
    </row>
    <row r="253" spans="1:3" x14ac:dyDescent="0.25">
      <c r="A253" s="8">
        <v>38</v>
      </c>
      <c r="B253" s="8">
        <v>71000</v>
      </c>
      <c r="C253" s="8">
        <v>0</v>
      </c>
    </row>
    <row r="254" spans="1:3" x14ac:dyDescent="0.25">
      <c r="A254" s="8">
        <v>38</v>
      </c>
      <c r="B254" s="8">
        <v>50000</v>
      </c>
      <c r="C254" s="8">
        <v>0</v>
      </c>
    </row>
    <row r="255" spans="1:3" x14ac:dyDescent="0.25">
      <c r="A255" s="8">
        <v>38</v>
      </c>
      <c r="B255" s="8">
        <v>50000</v>
      </c>
      <c r="C255" s="8">
        <v>0</v>
      </c>
    </row>
    <row r="256" spans="1:3" x14ac:dyDescent="0.25">
      <c r="A256" s="8">
        <v>38</v>
      </c>
      <c r="B256" s="8">
        <v>55000</v>
      </c>
      <c r="C256" s="8">
        <v>0</v>
      </c>
    </row>
    <row r="257" spans="1:3" x14ac:dyDescent="0.25">
      <c r="A257" s="8">
        <v>38</v>
      </c>
      <c r="B257" s="8">
        <v>61000</v>
      </c>
      <c r="C257" s="8">
        <v>0</v>
      </c>
    </row>
    <row r="258" spans="1:3" x14ac:dyDescent="0.25">
      <c r="A258" s="8">
        <v>38</v>
      </c>
      <c r="B258" s="8">
        <v>71000</v>
      </c>
      <c r="C258" s="8">
        <v>0</v>
      </c>
    </row>
    <row r="259" spans="1:3" x14ac:dyDescent="0.25">
      <c r="A259" s="30">
        <v>60</v>
      </c>
      <c r="B259" s="30">
        <v>108000</v>
      </c>
      <c r="C259" s="30">
        <v>1</v>
      </c>
    </row>
    <row r="260" spans="1:3" x14ac:dyDescent="0.25">
      <c r="A260" s="30">
        <v>60</v>
      </c>
      <c r="B260" s="30">
        <v>102000</v>
      </c>
      <c r="C260" s="30">
        <v>1</v>
      </c>
    </row>
    <row r="261" spans="1:3" x14ac:dyDescent="0.25">
      <c r="A261" s="30">
        <v>60</v>
      </c>
      <c r="B261" s="30">
        <v>42000</v>
      </c>
      <c r="C261" s="30">
        <v>1</v>
      </c>
    </row>
    <row r="262" spans="1:3" x14ac:dyDescent="0.25">
      <c r="A262" s="30">
        <v>60</v>
      </c>
      <c r="B262" s="30">
        <v>34000</v>
      </c>
      <c r="C262" s="30">
        <v>1</v>
      </c>
    </row>
    <row r="263" spans="1:3" x14ac:dyDescent="0.25">
      <c r="A263" s="30">
        <v>60</v>
      </c>
      <c r="B263" s="30">
        <v>46000</v>
      </c>
      <c r="C263" s="30">
        <v>1</v>
      </c>
    </row>
    <row r="264" spans="1:3" x14ac:dyDescent="0.25">
      <c r="A264" s="30">
        <v>60</v>
      </c>
      <c r="B264" s="30">
        <v>83000</v>
      </c>
      <c r="C264" s="30">
        <v>1</v>
      </c>
    </row>
    <row r="265" spans="1:3" x14ac:dyDescent="0.25">
      <c r="A265" s="30">
        <v>60</v>
      </c>
      <c r="B265" s="30">
        <v>42000</v>
      </c>
      <c r="C265" s="30">
        <v>1</v>
      </c>
    </row>
    <row r="266" spans="1:3" x14ac:dyDescent="0.25">
      <c r="A266" s="30">
        <v>59</v>
      </c>
      <c r="B266" s="30">
        <v>143000</v>
      </c>
      <c r="C266" s="30">
        <v>1</v>
      </c>
    </row>
    <row r="267" spans="1:3" x14ac:dyDescent="0.25">
      <c r="A267" s="30">
        <v>59</v>
      </c>
      <c r="B267" s="30">
        <v>76000</v>
      </c>
      <c r="C267" s="30">
        <v>1</v>
      </c>
    </row>
    <row r="268" spans="1:3" x14ac:dyDescent="0.25">
      <c r="A268" s="30">
        <v>59</v>
      </c>
      <c r="B268" s="30">
        <v>88000</v>
      </c>
      <c r="C268" s="30">
        <v>1</v>
      </c>
    </row>
    <row r="269" spans="1:3" x14ac:dyDescent="0.25">
      <c r="A269" s="30">
        <v>59</v>
      </c>
      <c r="B269" s="30">
        <v>29000</v>
      </c>
      <c r="C269" s="30">
        <v>1</v>
      </c>
    </row>
    <row r="270" spans="1:3" x14ac:dyDescent="0.25">
      <c r="A270" s="30">
        <v>59</v>
      </c>
      <c r="B270" s="30">
        <v>130000</v>
      </c>
      <c r="C270" s="30">
        <v>1</v>
      </c>
    </row>
    <row r="271" spans="1:3" x14ac:dyDescent="0.25">
      <c r="A271" s="30">
        <v>58</v>
      </c>
      <c r="B271" s="30">
        <v>101000</v>
      </c>
      <c r="C271" s="30">
        <v>1</v>
      </c>
    </row>
    <row r="272" spans="1:3" x14ac:dyDescent="0.25">
      <c r="A272" s="30">
        <v>58</v>
      </c>
      <c r="B272" s="30">
        <v>95000</v>
      </c>
      <c r="C272" s="30">
        <v>1</v>
      </c>
    </row>
    <row r="273" spans="1:3" x14ac:dyDescent="0.25">
      <c r="A273" s="30">
        <v>58</v>
      </c>
      <c r="B273" s="30">
        <v>38000</v>
      </c>
      <c r="C273" s="30">
        <v>1</v>
      </c>
    </row>
    <row r="274" spans="1:3" x14ac:dyDescent="0.25">
      <c r="A274" s="30">
        <v>58</v>
      </c>
      <c r="B274" s="30">
        <v>144000</v>
      </c>
      <c r="C274" s="30">
        <v>1</v>
      </c>
    </row>
    <row r="275" spans="1:3" x14ac:dyDescent="0.25">
      <c r="A275" s="30">
        <v>58</v>
      </c>
      <c r="B275" s="30">
        <v>47000</v>
      </c>
      <c r="C275" s="30">
        <v>1</v>
      </c>
    </row>
    <row r="276" spans="1:3" x14ac:dyDescent="0.25">
      <c r="A276" s="30">
        <v>58</v>
      </c>
      <c r="B276" s="30">
        <v>23000</v>
      </c>
      <c r="C276" s="30">
        <v>1</v>
      </c>
    </row>
    <row r="277" spans="1:3" x14ac:dyDescent="0.25">
      <c r="A277" s="30">
        <v>57</v>
      </c>
      <c r="B277" s="30">
        <v>122000</v>
      </c>
      <c r="C277" s="30">
        <v>1</v>
      </c>
    </row>
    <row r="278" spans="1:3" x14ac:dyDescent="0.25">
      <c r="A278" s="30">
        <v>57</v>
      </c>
      <c r="B278" s="30">
        <v>26000</v>
      </c>
      <c r="C278" s="30">
        <v>1</v>
      </c>
    </row>
    <row r="279" spans="1:3" x14ac:dyDescent="0.25">
      <c r="A279" s="30">
        <v>57</v>
      </c>
      <c r="B279" s="30">
        <v>74000</v>
      </c>
      <c r="C279" s="30">
        <v>1</v>
      </c>
    </row>
    <row r="280" spans="1:3" x14ac:dyDescent="0.25">
      <c r="A280" s="30">
        <v>57</v>
      </c>
      <c r="B280" s="30">
        <v>60000</v>
      </c>
      <c r="C280" s="30">
        <v>1</v>
      </c>
    </row>
    <row r="281" spans="1:3" x14ac:dyDescent="0.25">
      <c r="A281" s="30">
        <v>57</v>
      </c>
      <c r="B281" s="30">
        <v>33000</v>
      </c>
      <c r="C281" s="30">
        <v>1</v>
      </c>
    </row>
    <row r="282" spans="1:3" x14ac:dyDescent="0.25">
      <c r="A282" s="30">
        <v>56</v>
      </c>
      <c r="B282" s="30">
        <v>133000</v>
      </c>
      <c r="C282" s="30">
        <v>1</v>
      </c>
    </row>
    <row r="283" spans="1:3" x14ac:dyDescent="0.25">
      <c r="A283" s="30">
        <v>56</v>
      </c>
      <c r="B283" s="30">
        <v>104000</v>
      </c>
      <c r="C283" s="30">
        <v>1</v>
      </c>
    </row>
    <row r="284" spans="1:3" x14ac:dyDescent="0.25">
      <c r="A284" s="30">
        <v>56</v>
      </c>
      <c r="B284" s="30">
        <v>60000</v>
      </c>
      <c r="C284" s="30">
        <v>1</v>
      </c>
    </row>
    <row r="285" spans="1:3" x14ac:dyDescent="0.25">
      <c r="A285" s="30">
        <v>55</v>
      </c>
      <c r="B285" s="30">
        <v>130000</v>
      </c>
      <c r="C285" s="30">
        <v>1</v>
      </c>
    </row>
    <row r="286" spans="1:3" x14ac:dyDescent="0.25">
      <c r="A286" s="30">
        <v>55</v>
      </c>
      <c r="B286" s="30">
        <v>125000</v>
      </c>
      <c r="C286" s="30">
        <v>1</v>
      </c>
    </row>
    <row r="287" spans="1:3" x14ac:dyDescent="0.25">
      <c r="A287" s="30">
        <v>55</v>
      </c>
      <c r="B287" s="30">
        <v>39000</v>
      </c>
      <c r="C287" s="30">
        <v>1</v>
      </c>
    </row>
    <row r="288" spans="1:3" x14ac:dyDescent="0.25">
      <c r="A288" s="30">
        <v>54</v>
      </c>
      <c r="B288" s="30">
        <v>104000</v>
      </c>
      <c r="C288" s="30">
        <v>1</v>
      </c>
    </row>
    <row r="289" spans="1:3" x14ac:dyDescent="0.25">
      <c r="A289" s="30">
        <v>54</v>
      </c>
      <c r="B289" s="30">
        <v>108000</v>
      </c>
      <c r="C289" s="30">
        <v>1</v>
      </c>
    </row>
    <row r="290" spans="1:3" x14ac:dyDescent="0.25">
      <c r="A290" s="30">
        <v>54</v>
      </c>
      <c r="B290" s="30">
        <v>70000</v>
      </c>
      <c r="C290" s="30">
        <v>1</v>
      </c>
    </row>
    <row r="291" spans="1:3" x14ac:dyDescent="0.25">
      <c r="A291" s="30">
        <v>54</v>
      </c>
      <c r="B291" s="30">
        <v>26000</v>
      </c>
      <c r="C291" s="30">
        <v>1</v>
      </c>
    </row>
    <row r="292" spans="1:3" x14ac:dyDescent="0.25">
      <c r="A292" s="30">
        <v>53</v>
      </c>
      <c r="B292" s="30">
        <v>143000</v>
      </c>
      <c r="C292" s="30">
        <v>1</v>
      </c>
    </row>
    <row r="293" spans="1:3" x14ac:dyDescent="0.25">
      <c r="A293" s="30">
        <v>53</v>
      </c>
      <c r="B293" s="30">
        <v>80000</v>
      </c>
      <c r="C293" s="30">
        <v>1</v>
      </c>
    </row>
    <row r="294" spans="1:3" x14ac:dyDescent="0.25">
      <c r="A294" s="30">
        <v>53</v>
      </c>
      <c r="B294" s="30">
        <v>104000</v>
      </c>
      <c r="C294" s="30">
        <v>1</v>
      </c>
    </row>
    <row r="295" spans="1:3" x14ac:dyDescent="0.25">
      <c r="A295" s="30">
        <v>53</v>
      </c>
      <c r="B295" s="30">
        <v>72000</v>
      </c>
      <c r="C295" s="30">
        <v>1</v>
      </c>
    </row>
    <row r="296" spans="1:3" x14ac:dyDescent="0.25">
      <c r="A296" s="30">
        <v>53</v>
      </c>
      <c r="B296" s="30">
        <v>34000</v>
      </c>
      <c r="C296" s="30">
        <v>1</v>
      </c>
    </row>
    <row r="297" spans="1:3" x14ac:dyDescent="0.25">
      <c r="A297" s="30">
        <v>52</v>
      </c>
      <c r="B297" s="30">
        <v>150000</v>
      </c>
      <c r="C297" s="30">
        <v>1</v>
      </c>
    </row>
    <row r="298" spans="1:3" x14ac:dyDescent="0.25">
      <c r="A298" s="30">
        <v>52</v>
      </c>
      <c r="B298" s="30">
        <v>90000</v>
      </c>
      <c r="C298" s="30">
        <v>1</v>
      </c>
    </row>
    <row r="299" spans="1:3" x14ac:dyDescent="0.25">
      <c r="A299" s="30">
        <v>52</v>
      </c>
      <c r="B299" s="30">
        <v>38000</v>
      </c>
      <c r="C299" s="30">
        <v>1</v>
      </c>
    </row>
    <row r="300" spans="1:3" x14ac:dyDescent="0.25">
      <c r="A300" s="30">
        <v>52</v>
      </c>
      <c r="B300" s="30">
        <v>21000</v>
      </c>
      <c r="C300" s="30">
        <v>1</v>
      </c>
    </row>
    <row r="301" spans="1:3" x14ac:dyDescent="0.25">
      <c r="A301" s="30">
        <v>52</v>
      </c>
      <c r="B301" s="30">
        <v>138000</v>
      </c>
      <c r="C301" s="30">
        <v>1</v>
      </c>
    </row>
    <row r="302" spans="1:3" x14ac:dyDescent="0.25">
      <c r="A302" s="30">
        <v>51</v>
      </c>
      <c r="B302" s="30">
        <v>146000</v>
      </c>
      <c r="C302" s="30">
        <v>1</v>
      </c>
    </row>
    <row r="303" spans="1:3" x14ac:dyDescent="0.25">
      <c r="A303" s="30">
        <v>51</v>
      </c>
      <c r="B303" s="30">
        <v>23000</v>
      </c>
      <c r="C303" s="30">
        <v>1</v>
      </c>
    </row>
    <row r="304" spans="1:3" x14ac:dyDescent="0.25">
      <c r="A304" s="30">
        <v>50</v>
      </c>
      <c r="B304" s="30">
        <v>36000</v>
      </c>
      <c r="C304" s="30">
        <v>1</v>
      </c>
    </row>
    <row r="305" spans="1:3" x14ac:dyDescent="0.25">
      <c r="A305" s="30">
        <v>50</v>
      </c>
      <c r="B305" s="30">
        <v>20000</v>
      </c>
      <c r="C305" s="30">
        <v>1</v>
      </c>
    </row>
    <row r="306" spans="1:3" x14ac:dyDescent="0.25">
      <c r="A306" s="30">
        <v>49</v>
      </c>
      <c r="B306" s="30">
        <v>28000</v>
      </c>
      <c r="C306" s="30">
        <v>1</v>
      </c>
    </row>
    <row r="307" spans="1:3" x14ac:dyDescent="0.25">
      <c r="A307" s="30">
        <v>49</v>
      </c>
      <c r="B307" s="30">
        <v>86000</v>
      </c>
      <c r="C307" s="30">
        <v>1</v>
      </c>
    </row>
    <row r="308" spans="1:3" x14ac:dyDescent="0.25">
      <c r="A308" s="30">
        <v>49</v>
      </c>
      <c r="B308" s="30">
        <v>88000</v>
      </c>
      <c r="C308" s="30">
        <v>1</v>
      </c>
    </row>
    <row r="309" spans="1:3" x14ac:dyDescent="0.25">
      <c r="A309" s="30">
        <v>49</v>
      </c>
      <c r="B309" s="30">
        <v>89000</v>
      </c>
      <c r="C309" s="30">
        <v>1</v>
      </c>
    </row>
    <row r="310" spans="1:3" x14ac:dyDescent="0.25">
      <c r="A310" s="30">
        <v>49</v>
      </c>
      <c r="B310" s="30">
        <v>141000</v>
      </c>
      <c r="C310" s="30">
        <v>1</v>
      </c>
    </row>
    <row r="311" spans="1:3" x14ac:dyDescent="0.25">
      <c r="A311" s="30">
        <v>49</v>
      </c>
      <c r="B311" s="30">
        <v>28000</v>
      </c>
      <c r="C311" s="30">
        <v>1</v>
      </c>
    </row>
    <row r="312" spans="1:3" x14ac:dyDescent="0.25">
      <c r="A312" s="30">
        <v>49</v>
      </c>
      <c r="B312" s="30">
        <v>80000</v>
      </c>
      <c r="C312" s="30">
        <v>1</v>
      </c>
    </row>
    <row r="313" spans="1:3" x14ac:dyDescent="0.25">
      <c r="A313" s="30">
        <v>49</v>
      </c>
      <c r="B313" s="30">
        <v>36000</v>
      </c>
      <c r="C313" s="30">
        <v>1</v>
      </c>
    </row>
    <row r="314" spans="1:3" x14ac:dyDescent="0.25">
      <c r="A314" s="30">
        <v>27</v>
      </c>
      <c r="B314" s="30">
        <v>137000</v>
      </c>
      <c r="C314" s="30">
        <v>1</v>
      </c>
    </row>
    <row r="315" spans="1:3" x14ac:dyDescent="0.25">
      <c r="A315" s="30">
        <v>27</v>
      </c>
      <c r="B315" s="30">
        <v>96000</v>
      </c>
      <c r="C315" s="30">
        <v>1</v>
      </c>
    </row>
    <row r="316" spans="1:3" x14ac:dyDescent="0.25">
      <c r="A316" s="30">
        <v>48</v>
      </c>
      <c r="B316" s="30">
        <v>29000</v>
      </c>
      <c r="C316" s="30">
        <v>1</v>
      </c>
    </row>
    <row r="317" spans="1:3" x14ac:dyDescent="0.25">
      <c r="A317" s="30">
        <v>48</v>
      </c>
      <c r="B317" s="30">
        <v>41000</v>
      </c>
      <c r="C317" s="30">
        <v>1</v>
      </c>
    </row>
    <row r="318" spans="1:3" x14ac:dyDescent="0.25">
      <c r="A318" s="30">
        <v>48</v>
      </c>
      <c r="B318" s="30">
        <v>96000</v>
      </c>
      <c r="C318" s="30">
        <v>1</v>
      </c>
    </row>
    <row r="319" spans="1:3" x14ac:dyDescent="0.25">
      <c r="A319" s="30">
        <v>48</v>
      </c>
      <c r="B319" s="30">
        <v>134000</v>
      </c>
      <c r="C319" s="30">
        <v>1</v>
      </c>
    </row>
    <row r="320" spans="1:3" x14ac:dyDescent="0.25">
      <c r="A320" s="30">
        <v>48</v>
      </c>
      <c r="B320" s="30">
        <v>90000</v>
      </c>
      <c r="C320" s="30">
        <v>1</v>
      </c>
    </row>
    <row r="321" spans="1:3" x14ac:dyDescent="0.25">
      <c r="A321" s="30">
        <v>48</v>
      </c>
      <c r="B321" s="30">
        <v>138000</v>
      </c>
      <c r="C321" s="30">
        <v>1</v>
      </c>
    </row>
    <row r="322" spans="1:3" x14ac:dyDescent="0.25">
      <c r="A322" s="30">
        <v>48</v>
      </c>
      <c r="B322" s="30">
        <v>74000</v>
      </c>
      <c r="C322" s="30">
        <v>1</v>
      </c>
    </row>
    <row r="323" spans="1:3" x14ac:dyDescent="0.25">
      <c r="A323" s="30">
        <v>48</v>
      </c>
      <c r="B323" s="30">
        <v>30000</v>
      </c>
      <c r="C323" s="30">
        <v>1</v>
      </c>
    </row>
    <row r="324" spans="1:3" x14ac:dyDescent="0.25">
      <c r="A324" s="30">
        <v>48</v>
      </c>
      <c r="B324" s="30">
        <v>131000</v>
      </c>
      <c r="C324" s="30">
        <v>1</v>
      </c>
    </row>
    <row r="325" spans="1:3" x14ac:dyDescent="0.25">
      <c r="A325" s="30">
        <v>48</v>
      </c>
      <c r="B325" s="30">
        <v>119000</v>
      </c>
      <c r="C325" s="30">
        <v>1</v>
      </c>
    </row>
    <row r="326" spans="1:3" x14ac:dyDescent="0.25">
      <c r="A326" s="30">
        <v>48</v>
      </c>
      <c r="B326" s="30">
        <v>33000</v>
      </c>
      <c r="C326" s="30">
        <v>1</v>
      </c>
    </row>
    <row r="327" spans="1:3" x14ac:dyDescent="0.25">
      <c r="A327" s="30">
        <v>48</v>
      </c>
      <c r="B327" s="30">
        <v>33000</v>
      </c>
      <c r="C327" s="30">
        <v>1</v>
      </c>
    </row>
    <row r="328" spans="1:3" x14ac:dyDescent="0.25">
      <c r="A328" s="30">
        <v>28</v>
      </c>
      <c r="B328" s="30">
        <v>123000</v>
      </c>
      <c r="C328" s="30">
        <v>1</v>
      </c>
    </row>
    <row r="329" spans="1:3" x14ac:dyDescent="0.25">
      <c r="A329" s="30">
        <v>47</v>
      </c>
      <c r="B329" s="30">
        <v>25000</v>
      </c>
      <c r="C329" s="30">
        <v>1</v>
      </c>
    </row>
    <row r="330" spans="1:3" x14ac:dyDescent="0.25">
      <c r="A330" s="30">
        <v>47</v>
      </c>
      <c r="B330" s="30">
        <v>49000</v>
      </c>
      <c r="C330" s="30">
        <v>1</v>
      </c>
    </row>
    <row r="331" spans="1:3" x14ac:dyDescent="0.25">
      <c r="A331" s="30">
        <v>47</v>
      </c>
      <c r="B331" s="30">
        <v>20000</v>
      </c>
      <c r="C331" s="30">
        <v>1</v>
      </c>
    </row>
    <row r="332" spans="1:3" x14ac:dyDescent="0.25">
      <c r="A332" s="30">
        <v>47</v>
      </c>
      <c r="B332" s="30">
        <v>30000</v>
      </c>
      <c r="C332" s="30">
        <v>1</v>
      </c>
    </row>
    <row r="333" spans="1:3" x14ac:dyDescent="0.25">
      <c r="A333" s="30">
        <v>47</v>
      </c>
      <c r="B333" s="30">
        <v>144000</v>
      </c>
      <c r="C333" s="30">
        <v>1</v>
      </c>
    </row>
    <row r="334" spans="1:3" x14ac:dyDescent="0.25">
      <c r="A334" s="30">
        <v>47</v>
      </c>
      <c r="B334" s="30">
        <v>113000</v>
      </c>
      <c r="C334" s="30">
        <v>1</v>
      </c>
    </row>
    <row r="335" spans="1:3" x14ac:dyDescent="0.25">
      <c r="A335" s="30">
        <v>47</v>
      </c>
      <c r="B335" s="30">
        <v>107000</v>
      </c>
      <c r="C335" s="30">
        <v>1</v>
      </c>
    </row>
    <row r="336" spans="1:3" x14ac:dyDescent="0.25">
      <c r="A336" s="30">
        <v>47</v>
      </c>
      <c r="B336" s="30">
        <v>51000</v>
      </c>
      <c r="C336" s="30">
        <v>1</v>
      </c>
    </row>
    <row r="337" spans="1:3" x14ac:dyDescent="0.25">
      <c r="A337" s="30">
        <v>47</v>
      </c>
      <c r="B337" s="30">
        <v>105000</v>
      </c>
      <c r="C337" s="30">
        <v>1</v>
      </c>
    </row>
    <row r="338" spans="1:3" x14ac:dyDescent="0.25">
      <c r="A338" s="30">
        <v>47</v>
      </c>
      <c r="B338" s="30">
        <v>50000</v>
      </c>
      <c r="C338" s="30">
        <v>1</v>
      </c>
    </row>
    <row r="339" spans="1:3" x14ac:dyDescent="0.25">
      <c r="A339" s="30">
        <v>47</v>
      </c>
      <c r="B339" s="30">
        <v>34000</v>
      </c>
      <c r="C339" s="30">
        <v>1</v>
      </c>
    </row>
    <row r="340" spans="1:3" x14ac:dyDescent="0.25">
      <c r="A340" s="30">
        <v>47</v>
      </c>
      <c r="B340" s="30">
        <v>23000</v>
      </c>
      <c r="C340" s="30">
        <v>1</v>
      </c>
    </row>
    <row r="341" spans="1:3" x14ac:dyDescent="0.25">
      <c r="A341" s="30">
        <v>29</v>
      </c>
      <c r="B341" s="30">
        <v>148000</v>
      </c>
      <c r="C341" s="30">
        <v>1</v>
      </c>
    </row>
    <row r="342" spans="1:3" x14ac:dyDescent="0.25">
      <c r="A342" s="30">
        <v>46</v>
      </c>
      <c r="B342" s="30">
        <v>28000</v>
      </c>
      <c r="C342" s="30">
        <v>1</v>
      </c>
    </row>
    <row r="343" spans="1:3" x14ac:dyDescent="0.25">
      <c r="A343" s="30">
        <v>46</v>
      </c>
      <c r="B343" s="30">
        <v>23000</v>
      </c>
      <c r="C343" s="30">
        <v>1</v>
      </c>
    </row>
    <row r="344" spans="1:3" x14ac:dyDescent="0.25">
      <c r="A344" s="30">
        <v>46</v>
      </c>
      <c r="B344" s="30">
        <v>79000</v>
      </c>
      <c r="C344" s="30">
        <v>1</v>
      </c>
    </row>
    <row r="345" spans="1:3" x14ac:dyDescent="0.25">
      <c r="A345" s="30">
        <v>46</v>
      </c>
      <c r="B345" s="30">
        <v>117000</v>
      </c>
      <c r="C345" s="30">
        <v>1</v>
      </c>
    </row>
    <row r="346" spans="1:3" x14ac:dyDescent="0.25">
      <c r="A346" s="30">
        <v>46</v>
      </c>
      <c r="B346" s="30">
        <v>88000</v>
      </c>
      <c r="C346" s="30">
        <v>1</v>
      </c>
    </row>
    <row r="347" spans="1:3" x14ac:dyDescent="0.25">
      <c r="A347" s="30">
        <v>46</v>
      </c>
      <c r="B347" s="30">
        <v>32000</v>
      </c>
      <c r="C347" s="30">
        <v>1</v>
      </c>
    </row>
    <row r="348" spans="1:3" x14ac:dyDescent="0.25">
      <c r="A348" s="30">
        <v>46</v>
      </c>
      <c r="B348" s="30">
        <v>41000</v>
      </c>
      <c r="C348" s="30">
        <v>1</v>
      </c>
    </row>
    <row r="349" spans="1:3" x14ac:dyDescent="0.25">
      <c r="A349" s="30">
        <v>30</v>
      </c>
      <c r="B349" s="30">
        <v>135000</v>
      </c>
      <c r="C349" s="30">
        <v>1</v>
      </c>
    </row>
    <row r="350" spans="1:3" x14ac:dyDescent="0.25">
      <c r="A350" s="30">
        <v>30</v>
      </c>
      <c r="B350" s="30">
        <v>107000</v>
      </c>
      <c r="C350" s="30">
        <v>1</v>
      </c>
    </row>
    <row r="351" spans="1:3" x14ac:dyDescent="0.25">
      <c r="A351" s="30">
        <v>45</v>
      </c>
      <c r="B351" s="30">
        <v>26000</v>
      </c>
      <c r="C351" s="30">
        <v>1</v>
      </c>
    </row>
    <row r="352" spans="1:3" x14ac:dyDescent="0.25">
      <c r="A352" s="30">
        <v>45</v>
      </c>
      <c r="B352" s="30">
        <v>22000</v>
      </c>
      <c r="C352" s="30">
        <v>1</v>
      </c>
    </row>
    <row r="353" spans="1:3" x14ac:dyDescent="0.25">
      <c r="A353" s="30">
        <v>45</v>
      </c>
      <c r="B353" s="30">
        <v>22000</v>
      </c>
      <c r="C353" s="30">
        <v>1</v>
      </c>
    </row>
    <row r="354" spans="1:3" x14ac:dyDescent="0.25">
      <c r="A354" s="30">
        <v>45</v>
      </c>
      <c r="B354" s="30">
        <v>131000</v>
      </c>
      <c r="C354" s="30">
        <v>1</v>
      </c>
    </row>
    <row r="355" spans="1:3" x14ac:dyDescent="0.25">
      <c r="A355" s="30">
        <v>45</v>
      </c>
      <c r="B355" s="30">
        <v>32000</v>
      </c>
      <c r="C355" s="30">
        <v>1</v>
      </c>
    </row>
    <row r="356" spans="1:3" x14ac:dyDescent="0.25">
      <c r="A356" s="30">
        <v>45</v>
      </c>
      <c r="B356" s="30">
        <v>45000</v>
      </c>
      <c r="C356" s="30">
        <v>1</v>
      </c>
    </row>
    <row r="357" spans="1:3" x14ac:dyDescent="0.25">
      <c r="A357" s="30">
        <v>31</v>
      </c>
      <c r="B357" s="30">
        <v>118000</v>
      </c>
      <c r="C357" s="30">
        <v>1</v>
      </c>
    </row>
    <row r="358" spans="1:3" x14ac:dyDescent="0.25">
      <c r="A358" s="30">
        <v>44</v>
      </c>
      <c r="B358" s="30">
        <v>139000</v>
      </c>
      <c r="C358" s="30">
        <v>1</v>
      </c>
    </row>
    <row r="359" spans="1:3" x14ac:dyDescent="0.25">
      <c r="A359" s="30">
        <v>32</v>
      </c>
      <c r="B359" s="30">
        <v>120000</v>
      </c>
      <c r="C359" s="30">
        <v>1</v>
      </c>
    </row>
    <row r="360" spans="1:3" x14ac:dyDescent="0.25">
      <c r="A360" s="30">
        <v>32</v>
      </c>
      <c r="B360" s="30">
        <v>135000</v>
      </c>
      <c r="C360" s="30">
        <v>1</v>
      </c>
    </row>
    <row r="361" spans="1:3" x14ac:dyDescent="0.25">
      <c r="A361" s="30">
        <v>32</v>
      </c>
      <c r="B361" s="30">
        <v>100000</v>
      </c>
      <c r="C361" s="30">
        <v>1</v>
      </c>
    </row>
    <row r="362" spans="1:3" x14ac:dyDescent="0.25">
      <c r="A362" s="30">
        <v>32</v>
      </c>
      <c r="B362" s="30">
        <v>117000</v>
      </c>
      <c r="C362" s="30">
        <v>1</v>
      </c>
    </row>
    <row r="363" spans="1:3" x14ac:dyDescent="0.25">
      <c r="A363" s="30">
        <v>43</v>
      </c>
      <c r="B363" s="30">
        <v>112000</v>
      </c>
      <c r="C363" s="30">
        <v>1</v>
      </c>
    </row>
    <row r="364" spans="1:3" x14ac:dyDescent="0.25">
      <c r="A364" s="30">
        <v>43</v>
      </c>
      <c r="B364" s="30">
        <v>129000</v>
      </c>
      <c r="C364" s="30">
        <v>1</v>
      </c>
    </row>
    <row r="365" spans="1:3" x14ac:dyDescent="0.25">
      <c r="A365" s="30">
        <v>33</v>
      </c>
      <c r="B365" s="30">
        <v>149000</v>
      </c>
      <c r="C365" s="30">
        <v>1</v>
      </c>
    </row>
    <row r="366" spans="1:3" x14ac:dyDescent="0.25">
      <c r="A366" s="30">
        <v>42</v>
      </c>
      <c r="B366" s="30">
        <v>80000</v>
      </c>
      <c r="C366" s="30">
        <v>1</v>
      </c>
    </row>
    <row r="367" spans="1:3" x14ac:dyDescent="0.25">
      <c r="A367" s="30">
        <v>42</v>
      </c>
      <c r="B367" s="30">
        <v>149000</v>
      </c>
      <c r="C367" s="30">
        <v>1</v>
      </c>
    </row>
    <row r="368" spans="1:3" x14ac:dyDescent="0.25">
      <c r="A368" s="30">
        <v>42</v>
      </c>
      <c r="B368" s="30">
        <v>108000</v>
      </c>
      <c r="C368" s="30">
        <v>1</v>
      </c>
    </row>
    <row r="369" spans="1:3" x14ac:dyDescent="0.25">
      <c r="A369" s="30">
        <v>42</v>
      </c>
      <c r="B369" s="30">
        <v>90000</v>
      </c>
      <c r="C369" s="30">
        <v>1</v>
      </c>
    </row>
    <row r="370" spans="1:3" x14ac:dyDescent="0.25">
      <c r="A370" s="30">
        <v>42</v>
      </c>
      <c r="B370" s="30">
        <v>104000</v>
      </c>
      <c r="C370" s="30">
        <v>1</v>
      </c>
    </row>
    <row r="371" spans="1:3" x14ac:dyDescent="0.25">
      <c r="A371" s="30">
        <v>34</v>
      </c>
      <c r="B371" s="30">
        <v>150000</v>
      </c>
      <c r="C371" s="30">
        <v>1</v>
      </c>
    </row>
    <row r="372" spans="1:3" x14ac:dyDescent="0.25">
      <c r="A372" s="30">
        <v>34</v>
      </c>
      <c r="B372" s="30">
        <v>112000</v>
      </c>
      <c r="C372" s="30">
        <v>1</v>
      </c>
    </row>
    <row r="373" spans="1:3" x14ac:dyDescent="0.25">
      <c r="A373" s="30">
        <v>34</v>
      </c>
      <c r="B373" s="30">
        <v>88000</v>
      </c>
      <c r="C373" s="30">
        <v>1</v>
      </c>
    </row>
    <row r="374" spans="1:3" x14ac:dyDescent="0.25">
      <c r="A374" s="30">
        <v>34</v>
      </c>
      <c r="B374" s="30">
        <v>73000</v>
      </c>
      <c r="C374" s="30">
        <v>1</v>
      </c>
    </row>
    <row r="375" spans="1:3" x14ac:dyDescent="0.25">
      <c r="A375" s="30">
        <v>34</v>
      </c>
      <c r="B375" s="30">
        <v>35000</v>
      </c>
      <c r="C375" s="30">
        <v>1</v>
      </c>
    </row>
    <row r="376" spans="1:3" x14ac:dyDescent="0.25">
      <c r="A376" s="30">
        <v>41</v>
      </c>
      <c r="B376" s="30">
        <v>87000</v>
      </c>
      <c r="C376" s="30">
        <v>1</v>
      </c>
    </row>
    <row r="377" spans="1:3" x14ac:dyDescent="0.25">
      <c r="A377" s="30">
        <v>35</v>
      </c>
      <c r="B377" s="30">
        <v>91000</v>
      </c>
      <c r="C377" s="30">
        <v>1</v>
      </c>
    </row>
    <row r="378" spans="1:3" x14ac:dyDescent="0.25">
      <c r="A378" s="30">
        <v>35</v>
      </c>
      <c r="B378" s="30">
        <v>147000</v>
      </c>
      <c r="C378" s="30">
        <v>1</v>
      </c>
    </row>
    <row r="379" spans="1:3" x14ac:dyDescent="0.25">
      <c r="A379" s="30">
        <v>35</v>
      </c>
      <c r="B379" s="30">
        <v>97000</v>
      </c>
      <c r="C379" s="30">
        <v>1</v>
      </c>
    </row>
    <row r="380" spans="1:3" x14ac:dyDescent="0.25">
      <c r="A380" s="30">
        <v>40</v>
      </c>
      <c r="B380" s="30">
        <v>142000</v>
      </c>
      <c r="C380" s="30">
        <v>1</v>
      </c>
    </row>
    <row r="381" spans="1:3" x14ac:dyDescent="0.25">
      <c r="A381" s="30">
        <v>40</v>
      </c>
      <c r="B381" s="30">
        <v>107000</v>
      </c>
      <c r="C381" s="30">
        <v>1</v>
      </c>
    </row>
    <row r="382" spans="1:3" x14ac:dyDescent="0.25">
      <c r="A382" s="30">
        <v>40</v>
      </c>
      <c r="B382" s="30">
        <v>71000</v>
      </c>
      <c r="C382" s="30">
        <v>1</v>
      </c>
    </row>
    <row r="383" spans="1:3" x14ac:dyDescent="0.25">
      <c r="A383" s="30">
        <v>36</v>
      </c>
      <c r="B383" s="30">
        <v>126000</v>
      </c>
      <c r="C383" s="30">
        <v>1</v>
      </c>
    </row>
    <row r="384" spans="1:3" x14ac:dyDescent="0.25">
      <c r="A384" s="30">
        <v>36</v>
      </c>
      <c r="B384" s="30">
        <v>144000</v>
      </c>
      <c r="C384" s="30">
        <v>1</v>
      </c>
    </row>
    <row r="385" spans="1:3" x14ac:dyDescent="0.25">
      <c r="A385" s="30">
        <v>36</v>
      </c>
      <c r="B385" s="30">
        <v>125000</v>
      </c>
      <c r="C385" s="30">
        <v>1</v>
      </c>
    </row>
    <row r="386" spans="1:3" x14ac:dyDescent="0.25">
      <c r="A386" s="30">
        <v>36</v>
      </c>
      <c r="B386" s="30">
        <v>118000</v>
      </c>
      <c r="C386" s="30">
        <v>1</v>
      </c>
    </row>
    <row r="387" spans="1:3" x14ac:dyDescent="0.25">
      <c r="A387" s="30">
        <v>36</v>
      </c>
      <c r="B387" s="30">
        <v>99000</v>
      </c>
      <c r="C387" s="30">
        <v>1</v>
      </c>
    </row>
    <row r="388" spans="1:3" x14ac:dyDescent="0.25">
      <c r="A388" s="30">
        <v>39</v>
      </c>
      <c r="B388" s="30">
        <v>134000</v>
      </c>
      <c r="C388" s="30">
        <v>1</v>
      </c>
    </row>
    <row r="389" spans="1:3" x14ac:dyDescent="0.25">
      <c r="A389" s="30">
        <v>39</v>
      </c>
      <c r="B389" s="30">
        <v>106000</v>
      </c>
      <c r="C389" s="30">
        <v>1</v>
      </c>
    </row>
    <row r="390" spans="1:3" x14ac:dyDescent="0.25">
      <c r="A390" s="30">
        <v>39</v>
      </c>
      <c r="B390" s="30">
        <v>134000</v>
      </c>
      <c r="C390" s="30">
        <v>1</v>
      </c>
    </row>
    <row r="391" spans="1:3" x14ac:dyDescent="0.25">
      <c r="A391" s="30">
        <v>39</v>
      </c>
      <c r="B391" s="30">
        <v>96000</v>
      </c>
      <c r="C391" s="30">
        <v>1</v>
      </c>
    </row>
    <row r="392" spans="1:3" x14ac:dyDescent="0.25">
      <c r="A392" s="30">
        <v>39</v>
      </c>
      <c r="B392" s="30">
        <v>75000</v>
      </c>
      <c r="C392" s="30">
        <v>1</v>
      </c>
    </row>
    <row r="393" spans="1:3" x14ac:dyDescent="0.25">
      <c r="A393" s="30">
        <v>39</v>
      </c>
      <c r="B393" s="30">
        <v>122000</v>
      </c>
      <c r="C393" s="30">
        <v>1</v>
      </c>
    </row>
    <row r="394" spans="1:3" x14ac:dyDescent="0.25">
      <c r="A394" s="30">
        <v>37</v>
      </c>
      <c r="B394" s="30">
        <v>144000</v>
      </c>
      <c r="C394" s="30">
        <v>1</v>
      </c>
    </row>
    <row r="395" spans="1:3" x14ac:dyDescent="0.25">
      <c r="A395" s="30">
        <v>37</v>
      </c>
      <c r="B395" s="30">
        <v>146000</v>
      </c>
      <c r="C395" s="30">
        <v>1</v>
      </c>
    </row>
    <row r="396" spans="1:3" x14ac:dyDescent="0.25">
      <c r="A396" s="30">
        <v>37</v>
      </c>
      <c r="B396" s="30">
        <v>70000</v>
      </c>
      <c r="C396" s="30">
        <v>1</v>
      </c>
    </row>
    <row r="397" spans="1:3" x14ac:dyDescent="0.25">
      <c r="A397" s="30">
        <v>37</v>
      </c>
      <c r="B397" s="30">
        <v>93000</v>
      </c>
      <c r="C397" s="30">
        <v>1</v>
      </c>
    </row>
    <row r="398" spans="1:3" x14ac:dyDescent="0.25">
      <c r="A398" s="30">
        <v>37</v>
      </c>
      <c r="B398" s="30">
        <v>78000</v>
      </c>
      <c r="C398" s="30">
        <v>1</v>
      </c>
    </row>
    <row r="399" spans="1:3" x14ac:dyDescent="0.25">
      <c r="A399" s="30">
        <v>37</v>
      </c>
      <c r="B399" s="30">
        <v>137000</v>
      </c>
      <c r="C399" s="30">
        <v>1</v>
      </c>
    </row>
    <row r="400" spans="1:3" x14ac:dyDescent="0.25">
      <c r="A400" s="30">
        <v>37</v>
      </c>
      <c r="B400" s="30">
        <v>79000</v>
      </c>
      <c r="C400" s="30">
        <v>1</v>
      </c>
    </row>
    <row r="401" spans="1:3" x14ac:dyDescent="0.25">
      <c r="A401" s="30">
        <v>38</v>
      </c>
      <c r="B401" s="30">
        <v>113000</v>
      </c>
      <c r="C401" s="30">
        <v>1</v>
      </c>
    </row>
    <row r="402" spans="1:3" ht="36.75" customHeight="1" x14ac:dyDescent="0.25"/>
  </sheetData>
  <mergeCells count="1">
    <mergeCell ref="E1:I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086B-9CDB-4400-935E-FF2DCCCCC582}">
  <dimension ref="A1:E20"/>
  <sheetViews>
    <sheetView workbookViewId="0">
      <selection activeCell="J12" sqref="J12"/>
    </sheetView>
  </sheetViews>
  <sheetFormatPr defaultRowHeight="15" x14ac:dyDescent="0.25"/>
  <cols>
    <col min="5" max="5" width="18.28515625" bestFit="1" customWidth="1"/>
  </cols>
  <sheetData>
    <row r="1" spans="1:5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 x14ac:dyDescent="0.25">
      <c r="A2" s="48" t="s">
        <v>95</v>
      </c>
      <c r="B2" s="48"/>
      <c r="C2" s="48"/>
      <c r="D2" s="48"/>
      <c r="E2" s="50" t="s">
        <v>96</v>
      </c>
    </row>
    <row r="3" spans="1:5" x14ac:dyDescent="0.25">
      <c r="A3" s="48"/>
      <c r="B3" s="48"/>
      <c r="C3" s="48"/>
      <c r="D3" s="48"/>
      <c r="E3" s="51"/>
    </row>
    <row r="4" spans="1:5" x14ac:dyDescent="0.25">
      <c r="A4" s="48"/>
      <c r="B4" s="48"/>
      <c r="C4" s="48"/>
      <c r="D4" s="48"/>
      <c r="E4" s="51"/>
    </row>
    <row r="5" spans="1:5" x14ac:dyDescent="0.25">
      <c r="A5" s="48"/>
      <c r="B5" s="48"/>
      <c r="C5" s="48"/>
      <c r="D5" s="48"/>
      <c r="E5" s="51"/>
    </row>
    <row r="6" spans="1:5" x14ac:dyDescent="0.25">
      <c r="A6" s="48"/>
      <c r="B6" s="48"/>
      <c r="C6" s="48"/>
      <c r="D6" s="48"/>
      <c r="E6" s="51"/>
    </row>
    <row r="7" spans="1:5" x14ac:dyDescent="0.25">
      <c r="A7" s="48"/>
      <c r="B7" s="48"/>
      <c r="C7" s="48"/>
      <c r="D7" s="48"/>
      <c r="E7" s="51"/>
    </row>
    <row r="8" spans="1:5" x14ac:dyDescent="0.25">
      <c r="A8" s="48"/>
      <c r="B8" s="48"/>
      <c r="C8" s="48"/>
      <c r="D8" s="48"/>
      <c r="E8" s="51"/>
    </row>
    <row r="9" spans="1:5" x14ac:dyDescent="0.25">
      <c r="A9" s="48"/>
      <c r="B9" s="48"/>
      <c r="C9" s="48"/>
      <c r="D9" s="48"/>
      <c r="E9" s="51"/>
    </row>
    <row r="10" spans="1:5" x14ac:dyDescent="0.25">
      <c r="A10" s="48"/>
      <c r="B10" s="48"/>
      <c r="C10" s="48"/>
      <c r="D10" s="48"/>
      <c r="E10" s="51"/>
    </row>
    <row r="11" spans="1:5" x14ac:dyDescent="0.25">
      <c r="A11" s="48"/>
      <c r="B11" s="48"/>
      <c r="C11" s="48"/>
      <c r="D11" s="48"/>
      <c r="E11" s="51"/>
    </row>
    <row r="12" spans="1:5" x14ac:dyDescent="0.25">
      <c r="A12" s="48"/>
      <c r="B12" s="48"/>
      <c r="C12" s="48"/>
      <c r="D12" s="48"/>
      <c r="E12" s="51"/>
    </row>
    <row r="13" spans="1:5" x14ac:dyDescent="0.25">
      <c r="A13" s="48"/>
      <c r="B13" s="48"/>
      <c r="C13" s="48"/>
      <c r="D13" s="48"/>
      <c r="E13" s="51"/>
    </row>
    <row r="14" spans="1:5" x14ac:dyDescent="0.25">
      <c r="A14" s="48"/>
      <c r="B14" s="48"/>
      <c r="C14" s="48"/>
      <c r="D14" s="48"/>
      <c r="E14" s="51"/>
    </row>
    <row r="15" spans="1:5" x14ac:dyDescent="0.25">
      <c r="A15" s="48"/>
      <c r="B15" s="48"/>
      <c r="C15" s="48"/>
      <c r="D15" s="48"/>
      <c r="E15" s="52"/>
    </row>
    <row r="16" spans="1:5" x14ac:dyDescent="0.25">
      <c r="A16" s="49" t="s">
        <v>98</v>
      </c>
      <c r="B16" s="49"/>
      <c r="C16" s="49"/>
      <c r="D16" s="49"/>
      <c r="E16" s="53" t="s">
        <v>97</v>
      </c>
    </row>
    <row r="17" spans="1:5" x14ac:dyDescent="0.25">
      <c r="A17" s="49"/>
      <c r="B17" s="49"/>
      <c r="C17" s="49"/>
      <c r="D17" s="49"/>
      <c r="E17" s="54"/>
    </row>
    <row r="18" spans="1:5" x14ac:dyDescent="0.25">
      <c r="A18" s="49"/>
      <c r="B18" s="49"/>
      <c r="C18" s="49"/>
      <c r="D18" s="49"/>
      <c r="E18" s="54"/>
    </row>
    <row r="19" spans="1:5" x14ac:dyDescent="0.25">
      <c r="A19" s="49"/>
      <c r="B19" s="49"/>
      <c r="C19" s="49"/>
      <c r="D19" s="49"/>
      <c r="E19" s="54"/>
    </row>
    <row r="20" spans="1:5" x14ac:dyDescent="0.25">
      <c r="A20" s="49"/>
      <c r="B20" s="49"/>
      <c r="C20" s="49"/>
      <c r="D20" s="49"/>
      <c r="E20" s="55"/>
    </row>
  </sheetData>
  <mergeCells count="4">
    <mergeCell ref="A2:D15"/>
    <mergeCell ref="A16:D20"/>
    <mergeCell ref="E2:E15"/>
    <mergeCell ref="E16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MNB</vt:lpstr>
      <vt:lpstr>MNB1</vt:lpstr>
      <vt:lpstr>MNB2</vt:lpstr>
      <vt:lpstr>MNB2 Laplace</vt:lpstr>
      <vt:lpstr>MNB2 (2)</vt:lpstr>
      <vt:lpstr>GNB</vt:lpstr>
      <vt:lpstr>traintest</vt:lpstr>
      <vt:lpstr>GNB!age</vt:lpstr>
      <vt:lpstr>GNB!salary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Jaideep.Raulji</dc:creator>
  <cp:lastModifiedBy>Jaideep Raulji</cp:lastModifiedBy>
  <dcterms:created xsi:type="dcterms:W3CDTF">2023-03-01T07:09:23Z</dcterms:created>
  <dcterms:modified xsi:type="dcterms:W3CDTF">2026-06-12T19:22:12Z</dcterms:modified>
</cp:coreProperties>
</file>