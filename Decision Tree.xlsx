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y_ai\"/>
    </mc:Choice>
  </mc:AlternateContent>
  <xr:revisionPtr revIDLastSave="0" documentId="13_ncr:1_{2AC6FEBD-3D15-4B10-8919-77CA619B7F4A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Ori-E" sheetId="1" r:id="rId1"/>
    <sheet name="Ori-G" sheetId="3" r:id="rId2"/>
    <sheet name="Final TREE" sheetId="8" r:id="rId3"/>
    <sheet name="Ori-E cpy" sheetId="4" r:id="rId4"/>
    <sheet name="Cont D" sheetId="7" r:id="rId5"/>
    <sheet name="Regression" sheetId="9" r:id="rId6"/>
  </sheets>
  <definedNames>
    <definedName name="_xlnm._FilterDatabase" localSheetId="2" hidden="1">'Final TREE'!$J$17:$N$22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9" l="1"/>
  <c r="F12" i="9"/>
  <c r="F11" i="9"/>
  <c r="F10" i="9"/>
  <c r="E16" i="9"/>
  <c r="E14" i="9"/>
  <c r="E13" i="9"/>
  <c r="E12" i="9"/>
  <c r="E11" i="9"/>
  <c r="E10" i="9"/>
  <c r="L29" i="9"/>
  <c r="L24" i="9"/>
  <c r="L19" i="9"/>
  <c r="L14" i="9"/>
  <c r="H12" i="9"/>
  <c r="L9" i="9"/>
  <c r="H27" i="9"/>
  <c r="H22" i="9"/>
  <c r="M17" i="9"/>
  <c r="H17" i="9"/>
  <c r="M12" i="9"/>
  <c r="M7" i="9"/>
  <c r="C11" i="9"/>
  <c r="C14" i="9"/>
  <c r="C13" i="9"/>
  <c r="C12" i="9"/>
  <c r="J55" i="7"/>
  <c r="J35" i="7"/>
  <c r="K34" i="7"/>
  <c r="G32" i="7"/>
  <c r="J29" i="7"/>
  <c r="G29" i="7"/>
  <c r="J26" i="7"/>
  <c r="G26" i="7"/>
  <c r="E15" i="7"/>
  <c r="D49" i="9" l="1"/>
  <c r="G49" i="7"/>
  <c r="G52" i="7" s="1"/>
  <c r="G46" i="7"/>
  <c r="E16" i="7"/>
  <c r="J12" i="3"/>
  <c r="J22" i="1"/>
  <c r="J19" i="1"/>
  <c r="J17" i="1"/>
  <c r="J12" i="1"/>
  <c r="K54" i="7"/>
  <c r="J49" i="7"/>
  <c r="J14" i="1"/>
  <c r="J46" i="7"/>
  <c r="J11" i="1"/>
  <c r="J9" i="1"/>
  <c r="J10" i="1"/>
  <c r="J62" i="1"/>
  <c r="E41" i="7"/>
  <c r="E42" i="7"/>
  <c r="E43" i="7"/>
  <c r="E44" i="7"/>
  <c r="E45" i="7"/>
  <c r="E46" i="7"/>
  <c r="E47" i="7"/>
  <c r="E48" i="7"/>
  <c r="E40" i="7"/>
  <c r="E19" i="7"/>
  <c r="E17" i="7"/>
  <c r="E18" i="7"/>
  <c r="E20" i="7"/>
  <c r="E21" i="7"/>
  <c r="E22" i="7"/>
  <c r="E23" i="7"/>
  <c r="I18" i="3"/>
  <c r="O10" i="3"/>
  <c r="I32" i="3"/>
  <c r="J17" i="3"/>
  <c r="J14" i="3"/>
  <c r="J13" i="3"/>
  <c r="L53" i="1"/>
  <c r="J48" i="1"/>
  <c r="J46" i="1"/>
  <c r="J45" i="1"/>
  <c r="J44" i="1"/>
  <c r="J36" i="1"/>
  <c r="J34" i="1"/>
  <c r="J33" i="1"/>
  <c r="J30" i="1"/>
  <c r="J29" i="1"/>
  <c r="J28" i="1"/>
  <c r="J27" i="1"/>
  <c r="J26" i="1"/>
  <c r="J46" i="3"/>
  <c r="J30" i="3"/>
  <c r="J25" i="3"/>
  <c r="J24" i="3"/>
  <c r="J23" i="3"/>
  <c r="J49" i="1"/>
  <c r="J58" i="3"/>
  <c r="J65" i="3"/>
  <c r="J59" i="3"/>
  <c r="J41" i="3"/>
  <c r="J40" i="3"/>
  <c r="L71" i="1"/>
  <c r="J66" i="1"/>
  <c r="J65" i="1"/>
  <c r="J64" i="1"/>
  <c r="J63" i="1"/>
  <c r="J47" i="1"/>
  <c r="J3" i="1"/>
  <c r="J1" i="1"/>
  <c r="M1" i="1"/>
  <c r="J6" i="1"/>
  <c r="J5" i="1"/>
  <c r="J4" i="1"/>
  <c r="J2" i="1"/>
  <c r="M6" i="1"/>
  <c r="N6" i="1" s="1"/>
  <c r="M5" i="1"/>
  <c r="F13" i="9" l="1"/>
  <c r="J24" i="1"/>
  <c r="I49" i="3"/>
  <c r="I68" i="3"/>
  <c r="K12" i="3"/>
  <c r="J9" i="3"/>
  <c r="J31" i="1"/>
  <c r="J11" i="3" l="1"/>
  <c r="J10" i="3"/>
  <c r="N5" i="1"/>
  <c r="K14" i="3"/>
  <c r="J67" i="1"/>
  <c r="J38" i="1" l="1"/>
  <c r="L13" i="3"/>
  <c r="M3" i="1"/>
  <c r="J24" i="4"/>
  <c r="J67" i="4"/>
  <c r="L71" i="4" s="1"/>
  <c r="J65" i="4"/>
  <c r="J64" i="4"/>
  <c r="J63" i="4"/>
  <c r="J62" i="4"/>
  <c r="J49" i="4"/>
  <c r="L53" i="4" s="1"/>
  <c r="J47" i="4"/>
  <c r="J46" i="4"/>
  <c r="J45" i="4"/>
  <c r="J44" i="4"/>
  <c r="J33" i="4"/>
  <c r="J36" i="4" s="1"/>
  <c r="J31" i="4"/>
  <c r="J30" i="4"/>
  <c r="J29" i="4"/>
  <c r="J28" i="4"/>
  <c r="J27" i="4"/>
  <c r="J26" i="4"/>
  <c r="J19" i="4"/>
  <c r="J39" i="3"/>
  <c r="J38" i="3"/>
  <c r="J20" i="3"/>
  <c r="J57" i="3"/>
  <c r="J56" i="3"/>
  <c r="J22" i="3"/>
  <c r="J21" i="3"/>
  <c r="M7" i="3"/>
  <c r="M6" i="3"/>
  <c r="J6" i="3"/>
  <c r="J5" i="3"/>
  <c r="M4" i="3"/>
  <c r="J4" i="3"/>
  <c r="M3" i="3"/>
  <c r="J3" i="3"/>
  <c r="M2" i="3"/>
  <c r="J2" i="3"/>
  <c r="J1" i="3"/>
  <c r="M2" i="1"/>
</calcChain>
</file>

<file path=xl/sharedStrings.xml><?xml version="1.0" encoding="utf-8"?>
<sst xmlns="http://schemas.openxmlformats.org/spreadsheetml/2006/main" count="1550" uniqueCount="154">
  <si>
    <t>Weather</t>
  </si>
  <si>
    <t>Play</t>
  </si>
  <si>
    <t>sunny</t>
  </si>
  <si>
    <t>overcast</t>
  </si>
  <si>
    <t>rain</t>
  </si>
  <si>
    <t>no</t>
  </si>
  <si>
    <t>yes</t>
  </si>
  <si>
    <t>Entropy (play, weather)=p(sunny) * e (3,2) + p (overcast) * e (4,0) + p(rain) * e(2,3)</t>
  </si>
  <si>
    <t>p(sunny)</t>
  </si>
  <si>
    <t>p(overcast)</t>
  </si>
  <si>
    <t>p(rain)</t>
  </si>
  <si>
    <t>Entropy (Play)</t>
  </si>
  <si>
    <t>IG (play, weather)</t>
  </si>
  <si>
    <t xml:space="preserve"> is equal to E(play)-E(play,weather)</t>
  </si>
  <si>
    <t>E(sunny,play)</t>
  </si>
  <si>
    <t>E(overcast,play)</t>
  </si>
  <si>
    <t>E(rain,play)</t>
  </si>
  <si>
    <t>Temp</t>
  </si>
  <si>
    <t>Humidity</t>
  </si>
  <si>
    <t>Wind</t>
  </si>
  <si>
    <t>hot</t>
  </si>
  <si>
    <t>mild</t>
  </si>
  <si>
    <t>cool</t>
  </si>
  <si>
    <t xml:space="preserve">mild </t>
  </si>
  <si>
    <t>high</t>
  </si>
  <si>
    <t>normal</t>
  </si>
  <si>
    <t>weak</t>
  </si>
  <si>
    <t>strong</t>
  </si>
  <si>
    <t>p(hot)</t>
  </si>
  <si>
    <t>p(mild)</t>
  </si>
  <si>
    <t>p(cool)</t>
  </si>
  <si>
    <t>E(hot, play)</t>
  </si>
  <si>
    <t>E(mild, play)</t>
  </si>
  <si>
    <t>E(cool, play)</t>
  </si>
  <si>
    <t>E(WEATHER)</t>
  </si>
  <si>
    <t>E(TEMP)</t>
  </si>
  <si>
    <t xml:space="preserve">IG can be directly calculated as </t>
  </si>
  <si>
    <t>E(play)-p(sunny)*E(sunny,play)-p(overcast)*E(overcast, play)-p(rain)*E(rain,play)</t>
  </si>
  <si>
    <t>(count of (hot and yes)/count of hot) * log( count of hot and yes),count of hot with base) - (count of (hot and no)/count of hot) * log( count of hot and no),count of hot with base 2)</t>
  </si>
  <si>
    <t>E(play)-p(hot)*E(hot,play)-p(mild)*E(mild, play)-p(cool)*E(cool,play)</t>
  </si>
  <si>
    <t>E(Humidity)</t>
  </si>
  <si>
    <t>As weather has highest IG it will be root node</t>
  </si>
  <si>
    <t>p(high)</t>
  </si>
  <si>
    <t>p(normal)</t>
  </si>
  <si>
    <t>E(high, play)</t>
  </si>
  <si>
    <t>E(normal, play)</t>
  </si>
  <si>
    <t>E(play)-p(high)*E(high,play)-p(normal)*E(normal, play)</t>
  </si>
  <si>
    <t>E(Wind)</t>
  </si>
  <si>
    <t>p(strong)</t>
  </si>
  <si>
    <t>p(weak)</t>
  </si>
  <si>
    <t>E(strong, play)</t>
  </si>
  <si>
    <t>E(weak, play)</t>
  </si>
  <si>
    <t>E(play)-p(strong)*E(strong,play)-p(weak)*E(weak, play)</t>
  </si>
  <si>
    <t>G(sunny,play)</t>
  </si>
  <si>
    <t>G(overcast,play)</t>
  </si>
  <si>
    <t>G(rain,play)</t>
  </si>
  <si>
    <t>Weighted Gini Index = p(sunny)*G(sunny,play)+p(overcast)*G(overcast, play)+p(rain)*G(rain,play)</t>
  </si>
  <si>
    <t>G(hot, play)</t>
  </si>
  <si>
    <t>G(mild, play)</t>
  </si>
  <si>
    <t>G(cool, play)</t>
  </si>
  <si>
    <t>Weighted Gini Index = p(hot)*G(hot,play)+p(mild)*G(mild, play)+p(cool)*G(cool,play)</t>
  </si>
  <si>
    <t>G(high, play)</t>
  </si>
  <si>
    <t>G(normal, play)</t>
  </si>
  <si>
    <t>Weighted Gini Index = p(high)*G(high,play)+p(normal)*G(normal, play)</t>
  </si>
  <si>
    <t>G(strong, play)</t>
  </si>
  <si>
    <t>G(weak, play)</t>
  </si>
  <si>
    <t>Weighted Gini Index = p(strong)*G(strong,play)+p(weak)*G(weak, play)</t>
  </si>
  <si>
    <t>The weighted Gini with lowest value is selected as root node</t>
  </si>
  <si>
    <t>(Weighted E of Play, Weather)</t>
  </si>
  <si>
    <t>Entropy (play, weather)=p(sunny) * e (sunny,play) + p (overcast) * e (overcast, play) + p(rain) * e(rain,play)</t>
  </si>
  <si>
    <t>Entropy (play, temp)=p(hot) * e (hot,play) + p (mild) * e (mild, play) + p(cool) * e(cool,play)</t>
  </si>
  <si>
    <t>Entropy of target var minus Entropy of independent variable</t>
  </si>
  <si>
    <t>Yes</t>
  </si>
  <si>
    <t>No</t>
  </si>
  <si>
    <t>LEAF NODE</t>
  </si>
  <si>
    <t>Gini Play</t>
  </si>
  <si>
    <t>or the Highest Information Gain</t>
  </si>
  <si>
    <t xml:space="preserve">IG Weather is </t>
  </si>
  <si>
    <t>IG Temperature is</t>
  </si>
  <si>
    <t>IG Humidity is</t>
  </si>
  <si>
    <t xml:space="preserve">IG wind is </t>
  </si>
  <si>
    <t>yes no ???</t>
  </si>
  <si>
    <t xml:space="preserve">Predict </t>
  </si>
  <si>
    <t>Strong</t>
  </si>
  <si>
    <t>if Weather == "overcast":
    #IG for Overcast is 0 (Pure Node). Always "yes"
    return "Play: Yes"
elif Weather == "sunny":
    # For Sunny, Humidity has the next highest Information Gain
    if Humidity == "high":
        return "Play: No"
    else: # Humidity is Normal
        return "Play: Yes"
elif Weather == "rain":
    # For Rain, Wind is the deciding factor
    if Wind == "strong":
        return "Play: No"
    else: # Wind is Weak
        return "Play: Yes"</t>
  </si>
  <si>
    <t>IG (Weather) &gt; IG (Humidity) &gt; IG (Wind) &gt; IG(Temp)</t>
  </si>
  <si>
    <t>Weighted</t>
  </si>
  <si>
    <t>W. Entropy(Play, Humidity)</t>
  </si>
  <si>
    <t>W. Entropy(Play,Wind)</t>
  </si>
  <si>
    <t>Weather : Overcast branch</t>
  </si>
  <si>
    <t>Weather : Rain branch</t>
  </si>
  <si>
    <t>Weather : Sunny Branch</t>
  </si>
  <si>
    <t>Day</t>
  </si>
  <si>
    <t>Humidity (%)</t>
  </si>
  <si>
    <t>Play?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</si>
  <si>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</si>
  <si>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</si>
  <si>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</si>
  <si>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</si>
  <si>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</si>
  <si>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</si>
  <si>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</si>
  <si>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</si>
  <si>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</si>
  <si>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</si>
  <si>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Temperature (F)</t>
  </si>
  <si>
    <t>Total Rows</t>
  </si>
  <si>
    <t>&lt;82.5</t>
  </si>
  <si>
    <t>&gt;=82.5</t>
  </si>
  <si>
    <t>Entropy</t>
  </si>
  <si>
    <t>Prob</t>
  </si>
  <si>
    <t>Weighted Entropy</t>
  </si>
  <si>
    <t>Information Gain</t>
  </si>
  <si>
    <t xml:space="preserve">Entropy of Target column play is </t>
  </si>
  <si>
    <t>So, we will split by Humidity</t>
  </si>
  <si>
    <t>&lt;73.5</t>
  </si>
  <si>
    <t>&gt;=73.5</t>
  </si>
  <si>
    <t>no. of records above or below / total records</t>
  </si>
  <si>
    <t>Total records above border line / total records</t>
  </si>
  <si>
    <t>Total records below border line / total records</t>
  </si>
  <si>
    <t>Weighted Entropy of whole column (humidity)</t>
  </si>
  <si>
    <t>Leaf Node</t>
  </si>
  <si>
    <t>Leaf node</t>
  </si>
  <si>
    <t>Feature X</t>
  </si>
  <si>
    <t>Target Y</t>
  </si>
  <si>
    <t>Sr No.</t>
  </si>
  <si>
    <t>&lt;1100</t>
  </si>
  <si>
    <t>&gt;=1100</t>
  </si>
  <si>
    <t>Use Entropy and Gini, if target variable is categorical</t>
  </si>
  <si>
    <t>Use Standard Deviation Reduction or Mean Square Error to find best split</t>
  </si>
  <si>
    <t>Split points</t>
  </si>
  <si>
    <t xml:space="preserve">Total Std Dev of y is </t>
  </si>
  <si>
    <t>Weighted Standard Deviation is  --&gt;&gt;</t>
  </si>
  <si>
    <t>&lt;1850</t>
  </si>
  <si>
    <t>&gt;=1850</t>
  </si>
  <si>
    <t>&lt;2650</t>
  </si>
  <si>
    <t>&gt;=2650</t>
  </si>
  <si>
    <t>SDR</t>
  </si>
  <si>
    <t>&lt;2900</t>
  </si>
  <si>
    <t>Split from where the highest SDR is hence,</t>
  </si>
  <si>
    <t>Sort by X</t>
  </si>
  <si>
    <t>Define Split points</t>
  </si>
  <si>
    <t>Calculate SD for Upper and lower splitted data</t>
  </si>
  <si>
    <t>Calculate WSD for the whole column</t>
  </si>
  <si>
    <t>Calculate SD for whole column</t>
  </si>
  <si>
    <t>Calculate SDR (Target SD -WSD)</t>
  </si>
  <si>
    <t xml:space="preserve">The row with highest SDR is the final split point </t>
  </si>
  <si>
    <t xml:space="preserve">Inference </t>
  </si>
  <si>
    <t>Disadvantage</t>
  </si>
  <si>
    <t>DT normally overfits in Regression problems</t>
  </si>
  <si>
    <t>????</t>
  </si>
  <si>
    <t>wsd</t>
  </si>
  <si>
    <t>???</t>
  </si>
  <si>
    <t>&gt;=2900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</si>
</sst>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2" borderId="0" xfId="0" applyFill="1"/>
    <xf numFmtId="0" fontId="1" fillId="2" borderId="2" xfId="0" applyFont="1" applyFill="1" applyBorder="1"/>
    <xf numFmtId="0" fontId="1" fillId="2" borderId="0" xfId="0" applyFont="1" applyFill="1"/>
    <xf numFmtId="165" fontId="1" fillId="2" borderId="0" xfId="0" applyNumberFormat="1" applyFont="1" applyFill="1"/>
    <xf numFmtId="164" fontId="0" fillId="2" borderId="0" xfId="0" applyNumberFormat="1" applyFill="1"/>
    <xf numFmtId="0" fontId="3" fillId="0" borderId="0" xfId="0" applyFont="1" applyAlignment="1">
      <alignment wrapText="1"/>
    </xf>
    <xf numFmtId="0" fontId="0" fillId="3" borderId="0" xfId="0" applyFill="1"/>
    <xf numFmtId="0" fontId="2" fillId="3" borderId="0" xfId="0" applyFont="1" applyFill="1"/>
    <xf numFmtId="165" fontId="2" fillId="3" borderId="0" xfId="0" applyNumberFormat="1" applyFont="1" applyFill="1"/>
    <xf numFmtId="0" fontId="2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0" fontId="0" fillId="3" borderId="4" xfId="0" applyFill="1" applyBorder="1"/>
    <xf numFmtId="0" fontId="1" fillId="3" borderId="4" xfId="0" applyFont="1" applyFill="1" applyBorder="1"/>
    <xf numFmtId="0" fontId="1" fillId="2" borderId="1" xfId="0" applyFont="1" applyFill="1" applyBorder="1"/>
    <xf numFmtId="0" fontId="1" fillId="2" borderId="5" xfId="0" applyFont="1" applyFill="1" applyBorder="1"/>
    <xf numFmtId="0" fontId="0" fillId="0" borderId="4" xfId="0" applyBorder="1"/>
    <xf numFmtId="165" fontId="1" fillId="2" borderId="1" xfId="0" applyNumberFormat="1" applyFont="1" applyFill="1" applyBorder="1"/>
    <xf numFmtId="164" fontId="0" fillId="3" borderId="1" xfId="0" applyNumberFormat="1" applyFill="1" applyBorder="1"/>
    <xf numFmtId="0" fontId="1" fillId="0" borderId="2" xfId="0" applyFont="1" applyBorder="1"/>
    <xf numFmtId="0" fontId="0" fillId="2" borderId="1" xfId="0" applyFill="1" applyBorder="1"/>
    <xf numFmtId="0" fontId="0" fillId="4" borderId="0" xfId="0" applyFill="1"/>
    <xf numFmtId="0" fontId="0" fillId="2" borderId="3" xfId="0" applyFill="1" applyBorder="1"/>
    <xf numFmtId="0" fontId="1" fillId="5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0" xfId="0" applyNumberFormat="1"/>
    <xf numFmtId="2" fontId="0" fillId="0" borderId="1" xfId="0" applyNumberFormat="1" applyBorder="1"/>
    <xf numFmtId="2" fontId="0" fillId="2" borderId="0" xfId="0" applyNumberFormat="1" applyFill="1"/>
    <xf numFmtId="0" fontId="0" fillId="0" borderId="6" xfId="0" applyBorder="1"/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6" borderId="0" xfId="0" applyFill="1"/>
    <xf numFmtId="0" fontId="0" fillId="5" borderId="0" xfId="0" applyFill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2" fontId="0" fillId="0" borderId="9" xfId="0" applyNumberFormat="1" applyBorder="1"/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/>
    <xf numFmtId="0" fontId="0" fillId="0" borderId="12" xfId="0" applyBorder="1"/>
    <xf numFmtId="0" fontId="0" fillId="0" borderId="7" xfId="0" applyBorder="1"/>
    <xf numFmtId="0" fontId="0" fillId="0" borderId="16" xfId="0" applyBorder="1"/>
    <xf numFmtId="0" fontId="0" fillId="0" borderId="13" xfId="0" applyBorder="1"/>
    <xf numFmtId="0" fontId="0" fillId="0" borderId="5" xfId="0" applyBorder="1"/>
    <xf numFmtId="0" fontId="0" fillId="0" borderId="17" xfId="0" applyBorder="1"/>
    <xf numFmtId="0" fontId="0" fillId="0" borderId="18" xfId="0" applyBorder="1"/>
    <xf numFmtId="0" fontId="0" fillId="7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2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4B0F52-A9AD-4A00-9FCF-B2DC3692DCE8}" name="Table2" displayName="Table2" ref="A1:C6" totalsRowShown="0" headerRowDxfId="20" headerRowBorderDxfId="19" tableBorderDxfId="18" totalsRowBorderDxfId="17">
  <tableColumns count="3">
    <tableColumn id="1" xr3:uid="{59B95462-DDA2-443D-B63F-EC35A81DFCAB}" name="Sr No." dataDxfId="16"/>
    <tableColumn id="2" xr3:uid="{70CF17A7-BB3D-4030-8016-EF4C140F1FCF}" name="Feature X" dataDxfId="15"/>
    <tableColumn id="3" xr3:uid="{5C1767EF-0A58-451E-8CBF-C67725C5B946}" name="Target Y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EEA4F1-03F1-44F9-8D4F-58FE1BBF28ED}" name="Table25" displayName="Table25" ref="G34:I40" totalsRowShown="0" headerRowDxfId="13" headerRowBorderDxfId="12" tableBorderDxfId="11" totalsRowBorderDxfId="10">
  <tableColumns count="3">
    <tableColumn id="1" xr3:uid="{C3F716AB-8B67-49F8-B0F6-F3D209CE052D}" name="Sr No." dataDxfId="9"/>
    <tableColumn id="2" xr3:uid="{B19F2C13-ACC5-4E95-B45C-4A7632E9AB36}" name="Feature X" dataDxfId="8"/>
    <tableColumn id="3" xr3:uid="{C1C5774D-74D5-4EF6-B059-B8679D515016}" name="Target Y" dataDxf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AD81FB-DE5F-4330-A78B-8B14B3A27B09}" name="Table256" displayName="Table256" ref="I41:K45" totalsRowShown="0" headerRowDxfId="6" headerRowBorderDxfId="5" tableBorderDxfId="4" totalsRowBorderDxfId="3">
  <tableColumns count="3">
    <tableColumn id="1" xr3:uid="{75DD65AE-D3CE-4E85-8C22-32D0A9E7DA54}" name="Sr No." dataDxfId="2"/>
    <tableColumn id="2" xr3:uid="{9A11ADD2-D04E-4781-AF22-093F9EE34658}" name="Feature X" dataDxfId="1"/>
    <tableColumn id="3" xr3:uid="{5F8147B9-EB0F-474B-9DB6-AD6D4F75A8BB}" name="Target 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zoomScale="190" zoomScaleNormal="190" workbookViewId="0">
      <selection activeCell="E1" sqref="E1:E5"/>
    </sheetView>
  </sheetViews>
  <sheetFormatPr defaultRowHeight="15" x14ac:dyDescent="0.25"/>
  <cols>
    <col min="1" max="1" width="8.7109375" customWidth="1"/>
    <col min="2" max="2" width="6" customWidth="1"/>
    <col min="4" max="4" width="7.140625" customWidth="1"/>
    <col min="5" max="5" width="5.28515625" customWidth="1"/>
    <col min="7" max="7" width="12.140625" bestFit="1" customWidth="1"/>
    <col min="10" max="10" width="9.5703125" bestFit="1" customWidth="1"/>
    <col min="13" max="13" width="5.85546875" customWidth="1"/>
  </cols>
  <sheetData>
    <row r="1" spans="1:15" x14ac:dyDescent="0.25">
      <c r="A1" s="2" t="s">
        <v>0</v>
      </c>
      <c r="B1" s="2" t="s">
        <v>17</v>
      </c>
      <c r="C1" s="2" t="s">
        <v>18</v>
      </c>
      <c r="D1" s="2" t="s">
        <v>19</v>
      </c>
      <c r="E1" s="2" t="s">
        <v>1</v>
      </c>
      <c r="G1" s="6" t="s">
        <v>34</v>
      </c>
      <c r="H1" s="3" t="s">
        <v>2</v>
      </c>
      <c r="I1" s="3" t="s">
        <v>6</v>
      </c>
      <c r="J1" s="3">
        <f t="shared" ref="J1:J6" si="0">COUNTIFS($A$2:$A$15,H1,$E$2:$E$15,I1)</f>
        <v>2</v>
      </c>
      <c r="L1" s="3" t="s">
        <v>2</v>
      </c>
      <c r="M1" s="3">
        <f>COUNTIF($A$2:$A$15,L1)</f>
        <v>5</v>
      </c>
      <c r="N1" s="3"/>
    </row>
    <row r="2" spans="1:15" x14ac:dyDescent="0.25">
      <c r="A2" s="3" t="s">
        <v>2</v>
      </c>
      <c r="B2" s="3" t="s">
        <v>20</v>
      </c>
      <c r="C2" s="3" t="s">
        <v>24</v>
      </c>
      <c r="D2" s="3" t="s">
        <v>26</v>
      </c>
      <c r="E2" s="3" t="s">
        <v>5</v>
      </c>
      <c r="H2" s="3" t="s">
        <v>2</v>
      </c>
      <c r="I2" s="3" t="s">
        <v>5</v>
      </c>
      <c r="J2" s="3">
        <f t="shared" si="0"/>
        <v>3</v>
      </c>
      <c r="L2" s="3" t="s">
        <v>3</v>
      </c>
      <c r="M2" s="3">
        <f>COUNTIF($A$2:$A$15,L2)</f>
        <v>4</v>
      </c>
      <c r="N2" s="3"/>
    </row>
    <row r="3" spans="1:15" x14ac:dyDescent="0.25">
      <c r="A3" s="3" t="s">
        <v>2</v>
      </c>
      <c r="B3" s="3" t="s">
        <v>20</v>
      </c>
      <c r="C3" s="3" t="s">
        <v>24</v>
      </c>
      <c r="D3" s="3" t="s">
        <v>27</v>
      </c>
      <c r="E3" s="3" t="s">
        <v>5</v>
      </c>
      <c r="H3" s="3" t="s">
        <v>3</v>
      </c>
      <c r="I3" s="3" t="s">
        <v>6</v>
      </c>
      <c r="J3" s="3">
        <f t="shared" si="0"/>
        <v>4</v>
      </c>
      <c r="L3" s="3" t="s">
        <v>4</v>
      </c>
      <c r="M3" s="3">
        <f>COUNTIF($A$2:$A$15,L3)</f>
        <v>5</v>
      </c>
      <c r="N3" s="3"/>
    </row>
    <row r="4" spans="1:15" x14ac:dyDescent="0.25">
      <c r="A4" s="3" t="s">
        <v>3</v>
      </c>
      <c r="B4" s="3" t="s">
        <v>20</v>
      </c>
      <c r="C4" s="3" t="s">
        <v>24</v>
      </c>
      <c r="D4" s="3" t="s">
        <v>26</v>
      </c>
      <c r="E4" s="3" t="s">
        <v>6</v>
      </c>
      <c r="H4" s="3" t="s">
        <v>3</v>
      </c>
      <c r="I4" s="3" t="s">
        <v>5</v>
      </c>
      <c r="J4" s="3">
        <f t="shared" si="0"/>
        <v>0</v>
      </c>
      <c r="L4" s="3"/>
      <c r="M4" s="3"/>
      <c r="N4" s="3"/>
    </row>
    <row r="5" spans="1:15" x14ac:dyDescent="0.25">
      <c r="A5" s="3" t="s">
        <v>4</v>
      </c>
      <c r="B5" s="3" t="s">
        <v>21</v>
      </c>
      <c r="C5" s="3" t="s">
        <v>24</v>
      </c>
      <c r="D5" s="3" t="s">
        <v>26</v>
      </c>
      <c r="E5" s="3" t="s">
        <v>6</v>
      </c>
      <c r="H5" s="3" t="s">
        <v>4</v>
      </c>
      <c r="I5" s="3" t="s">
        <v>6</v>
      </c>
      <c r="J5" s="3">
        <f t="shared" si="0"/>
        <v>3</v>
      </c>
      <c r="L5" s="3" t="s">
        <v>6</v>
      </c>
      <c r="M5" s="3">
        <f>COUNTIF($E$2:$E$15,L5)</f>
        <v>9</v>
      </c>
      <c r="N5" s="3">
        <f>M5/14</f>
        <v>0.6428571428571429</v>
      </c>
    </row>
    <row r="6" spans="1:15" x14ac:dyDescent="0.25">
      <c r="A6" s="3" t="s">
        <v>4</v>
      </c>
      <c r="B6" s="3" t="s">
        <v>22</v>
      </c>
      <c r="C6" s="3" t="s">
        <v>25</v>
      </c>
      <c r="D6" s="3" t="s">
        <v>26</v>
      </c>
      <c r="E6" s="3" t="s">
        <v>6</v>
      </c>
      <c r="H6" s="3" t="s">
        <v>4</v>
      </c>
      <c r="I6" s="3" t="s">
        <v>5</v>
      </c>
      <c r="J6" s="3">
        <f t="shared" si="0"/>
        <v>2</v>
      </c>
      <c r="L6" s="3" t="s">
        <v>5</v>
      </c>
      <c r="M6" s="3">
        <f>COUNTIF($E$2:$E$15,L6)</f>
        <v>5</v>
      </c>
      <c r="N6" s="3">
        <f>M6/14</f>
        <v>0.35714285714285715</v>
      </c>
    </row>
    <row r="7" spans="1:15" x14ac:dyDescent="0.25">
      <c r="A7" s="3" t="s">
        <v>4</v>
      </c>
      <c r="B7" s="3" t="s">
        <v>22</v>
      </c>
      <c r="C7" s="3" t="s">
        <v>25</v>
      </c>
      <c r="D7" s="3" t="s">
        <v>27</v>
      </c>
      <c r="E7" s="3" t="s">
        <v>5</v>
      </c>
    </row>
    <row r="8" spans="1:15" x14ac:dyDescent="0.25">
      <c r="A8" s="3" t="s">
        <v>3</v>
      </c>
      <c r="B8" s="3" t="s">
        <v>22</v>
      </c>
      <c r="C8" s="3" t="s">
        <v>25</v>
      </c>
      <c r="D8" s="3" t="s">
        <v>27</v>
      </c>
      <c r="E8" s="3" t="s">
        <v>6</v>
      </c>
    </row>
    <row r="9" spans="1:15" x14ac:dyDescent="0.25">
      <c r="A9" s="3" t="s">
        <v>2</v>
      </c>
      <c r="B9" s="3" t="s">
        <v>23</v>
      </c>
      <c r="C9" s="3" t="s">
        <v>24</v>
      </c>
      <c r="D9" s="3" t="s">
        <v>26</v>
      </c>
      <c r="E9" s="3" t="s">
        <v>5</v>
      </c>
      <c r="H9" s="3" t="s">
        <v>8</v>
      </c>
      <c r="I9" s="3"/>
      <c r="J9" s="3">
        <f>M1/14</f>
        <v>0.35714285714285715</v>
      </c>
    </row>
    <row r="10" spans="1:15" x14ac:dyDescent="0.25">
      <c r="A10" s="3" t="s">
        <v>2</v>
      </c>
      <c r="B10" s="3" t="s">
        <v>22</v>
      </c>
      <c r="C10" s="3" t="s">
        <v>25</v>
      </c>
      <c r="D10" s="3" t="s">
        <v>26</v>
      </c>
      <c r="E10" s="3" t="s">
        <v>6</v>
      </c>
      <c r="H10" s="3" t="s">
        <v>9</v>
      </c>
      <c r="I10" s="3"/>
      <c r="J10" s="3">
        <f>M2/14</f>
        <v>0.2857142857142857</v>
      </c>
    </row>
    <row r="11" spans="1:15" x14ac:dyDescent="0.25">
      <c r="A11" s="3" t="s">
        <v>4</v>
      </c>
      <c r="B11" s="3" t="s">
        <v>21</v>
      </c>
      <c r="C11" s="3" t="s">
        <v>25</v>
      </c>
      <c r="D11" s="3" t="s">
        <v>26</v>
      </c>
      <c r="E11" s="3" t="s">
        <v>6</v>
      </c>
      <c r="H11" s="3" t="s">
        <v>10</v>
      </c>
      <c r="I11" s="3"/>
      <c r="J11" s="3">
        <f>M3/14</f>
        <v>0.35714285714285715</v>
      </c>
    </row>
    <row r="12" spans="1:15" x14ac:dyDescent="0.25">
      <c r="A12" s="3" t="s">
        <v>2</v>
      </c>
      <c r="B12" s="3" t="s">
        <v>21</v>
      </c>
      <c r="C12" s="3" t="s">
        <v>25</v>
      </c>
      <c r="D12" s="3" t="s">
        <v>27</v>
      </c>
      <c r="E12" s="3" t="s">
        <v>6</v>
      </c>
      <c r="H12" s="3" t="s">
        <v>14</v>
      </c>
      <c r="I12" s="3"/>
      <c r="J12" s="3">
        <f>-((2/5)*LOG(2/5,2))-((3/5)*LOG(3/5,2))</f>
        <v>0.97095059445466858</v>
      </c>
    </row>
    <row r="13" spans="1:15" x14ac:dyDescent="0.25">
      <c r="A13" s="3" t="s">
        <v>3</v>
      </c>
      <c r="B13" s="3" t="s">
        <v>21</v>
      </c>
      <c r="C13" s="3" t="s">
        <v>24</v>
      </c>
      <c r="D13" s="3" t="s">
        <v>27</v>
      </c>
      <c r="E13" s="3" t="s">
        <v>6</v>
      </c>
      <c r="H13" s="3" t="s">
        <v>15</v>
      </c>
      <c r="I13" s="3"/>
      <c r="J13" s="3">
        <v>0</v>
      </c>
    </row>
    <row r="14" spans="1:15" x14ac:dyDescent="0.25">
      <c r="A14" s="3" t="s">
        <v>3</v>
      </c>
      <c r="B14" s="3" t="s">
        <v>20</v>
      </c>
      <c r="C14" s="3" t="s">
        <v>25</v>
      </c>
      <c r="D14" s="3" t="s">
        <v>26</v>
      </c>
      <c r="E14" s="3" t="s">
        <v>6</v>
      </c>
      <c r="H14" s="3" t="s">
        <v>16</v>
      </c>
      <c r="I14" s="3"/>
      <c r="J14" s="3">
        <f>-((3/5)*LOG(3/5,2)) - ((2/5)*LOG(2/5,2))</f>
        <v>0.97095059445466858</v>
      </c>
    </row>
    <row r="15" spans="1:15" x14ac:dyDescent="0.25">
      <c r="A15" s="3" t="s">
        <v>4</v>
      </c>
      <c r="B15" s="3" t="s">
        <v>21</v>
      </c>
      <c r="C15" s="3" t="s">
        <v>24</v>
      </c>
      <c r="D15" s="3" t="s">
        <v>27</v>
      </c>
      <c r="E15" s="3" t="s">
        <v>5</v>
      </c>
    </row>
    <row r="16" spans="1:15" ht="24" customHeight="1" x14ac:dyDescent="0.25">
      <c r="A16" s="3" t="s">
        <v>4</v>
      </c>
      <c r="B16" s="3" t="s">
        <v>21</v>
      </c>
      <c r="C16" s="3" t="s">
        <v>24</v>
      </c>
      <c r="D16" s="3" t="s">
        <v>26</v>
      </c>
      <c r="E16" s="3" t="s">
        <v>152</v>
      </c>
      <c r="G16" s="10" t="s">
        <v>68</v>
      </c>
      <c r="H16" s="1" t="s">
        <v>69</v>
      </c>
      <c r="I16" s="1"/>
      <c r="J16" s="1"/>
      <c r="K16" s="1"/>
      <c r="L16" s="1"/>
      <c r="M16" s="1"/>
      <c r="N16" s="1"/>
      <c r="O16" s="1"/>
    </row>
    <row r="17" spans="1:12" x14ac:dyDescent="0.25">
      <c r="J17" s="5">
        <f>(J9*J12)+(J10*J13)+(J11*J14)</f>
        <v>0.69353613889619181</v>
      </c>
    </row>
    <row r="19" spans="1:12" ht="18.75" x14ac:dyDescent="0.3">
      <c r="H19" s="14" t="s">
        <v>11</v>
      </c>
      <c r="I19" s="14"/>
      <c r="J19" s="14">
        <f>-((9/14)*LOG(9/14,2)) -((5/14) * LOG(5/14,2))</f>
        <v>0.94028595867063092</v>
      </c>
    </row>
    <row r="21" spans="1:12" x14ac:dyDescent="0.25">
      <c r="H21" s="15" t="s">
        <v>12</v>
      </c>
      <c r="I21" s="15"/>
      <c r="J21" s="15" t="s">
        <v>13</v>
      </c>
      <c r="K21" s="15"/>
      <c r="L21" s="15"/>
    </row>
    <row r="22" spans="1:12" x14ac:dyDescent="0.25">
      <c r="H22" s="17"/>
      <c r="I22" s="17"/>
      <c r="J22" s="18">
        <f>J19-J17</f>
        <v>0.24674981977443911</v>
      </c>
      <c r="K22" s="15"/>
      <c r="L22" s="15"/>
    </row>
    <row r="23" spans="1:12" x14ac:dyDescent="0.25">
      <c r="F23" s="2" t="s">
        <v>36</v>
      </c>
      <c r="G23" s="2"/>
      <c r="H23" s="2"/>
      <c r="I23" s="3"/>
      <c r="J23" s="3" t="s">
        <v>37</v>
      </c>
    </row>
    <row r="24" spans="1:12" x14ac:dyDescent="0.25">
      <c r="F24" s="3"/>
      <c r="G24" s="3"/>
      <c r="H24" s="3"/>
      <c r="I24" s="3"/>
      <c r="J24" s="2">
        <f>J19-J9*J12-J10*J13-J11*J14</f>
        <v>0.24674981977443911</v>
      </c>
    </row>
    <row r="26" spans="1:12" x14ac:dyDescent="0.25">
      <c r="A26" s="2" t="s">
        <v>0</v>
      </c>
      <c r="B26" s="2" t="s">
        <v>17</v>
      </c>
      <c r="C26" s="2" t="s">
        <v>18</v>
      </c>
      <c r="D26" s="2" t="s">
        <v>19</v>
      </c>
      <c r="E26" s="2" t="s">
        <v>1</v>
      </c>
      <c r="G26" s="20" t="s">
        <v>35</v>
      </c>
      <c r="H26" s="3" t="s">
        <v>28</v>
      </c>
      <c r="I26" s="3"/>
      <c r="J26" s="3">
        <f>4/14</f>
        <v>0.2857142857142857</v>
      </c>
    </row>
    <row r="27" spans="1:12" x14ac:dyDescent="0.25">
      <c r="A27" s="3" t="s">
        <v>2</v>
      </c>
      <c r="B27" s="3" t="s">
        <v>20</v>
      </c>
      <c r="C27" s="3" t="s">
        <v>24</v>
      </c>
      <c r="D27" s="3" t="s">
        <v>26</v>
      </c>
      <c r="E27" s="3" t="s">
        <v>5</v>
      </c>
      <c r="H27" s="3" t="s">
        <v>29</v>
      </c>
      <c r="I27" s="3"/>
      <c r="J27" s="3">
        <f>6/14</f>
        <v>0.42857142857142855</v>
      </c>
    </row>
    <row r="28" spans="1:12" x14ac:dyDescent="0.25">
      <c r="A28" s="3" t="s">
        <v>2</v>
      </c>
      <c r="B28" s="3" t="s">
        <v>20</v>
      </c>
      <c r="C28" s="3" t="s">
        <v>24</v>
      </c>
      <c r="D28" s="3" t="s">
        <v>27</v>
      </c>
      <c r="E28" s="3" t="s">
        <v>5</v>
      </c>
      <c r="H28" s="3" t="s">
        <v>30</v>
      </c>
      <c r="I28" s="3"/>
      <c r="J28" s="3">
        <f>4/14</f>
        <v>0.2857142857142857</v>
      </c>
    </row>
    <row r="29" spans="1:12" x14ac:dyDescent="0.25">
      <c r="A29" s="3" t="s">
        <v>3</v>
      </c>
      <c r="B29" s="3" t="s">
        <v>20</v>
      </c>
      <c r="C29" s="3" t="s">
        <v>24</v>
      </c>
      <c r="D29" s="3" t="s">
        <v>26</v>
      </c>
      <c r="E29" s="3" t="s">
        <v>6</v>
      </c>
      <c r="H29" s="3" t="s">
        <v>31</v>
      </c>
      <c r="I29" s="3"/>
      <c r="J29" s="3">
        <f>-(2/4)*LOG(2/4,2)-(2/4)*LOG(2/4,2)</f>
        <v>1</v>
      </c>
      <c r="K29" t="s">
        <v>38</v>
      </c>
    </row>
    <row r="30" spans="1:12" x14ac:dyDescent="0.25">
      <c r="A30" s="3" t="s">
        <v>4</v>
      </c>
      <c r="B30" s="3" t="s">
        <v>21</v>
      </c>
      <c r="C30" s="3" t="s">
        <v>24</v>
      </c>
      <c r="D30" s="3" t="s">
        <v>26</v>
      </c>
      <c r="E30" s="3" t="s">
        <v>6</v>
      </c>
      <c r="H30" s="3" t="s">
        <v>32</v>
      </c>
      <c r="I30" s="3"/>
      <c r="J30" s="3">
        <f>-(4/6)*LOG(4/6,2) - (2/6)*LOG(2/6,2)</f>
        <v>0.91829583405448956</v>
      </c>
    </row>
    <row r="31" spans="1:12" x14ac:dyDescent="0.25">
      <c r="A31" s="3" t="s">
        <v>4</v>
      </c>
      <c r="B31" s="3" t="s">
        <v>22</v>
      </c>
      <c r="C31" s="3" t="s">
        <v>25</v>
      </c>
      <c r="D31" s="3" t="s">
        <v>26</v>
      </c>
      <c r="E31" s="3" t="s">
        <v>6</v>
      </c>
      <c r="H31" s="3" t="s">
        <v>33</v>
      </c>
      <c r="I31" s="3"/>
      <c r="J31" s="3">
        <f>-(3/4)*LOG(3/4,2) -(1/4)*LOG(1/4,2)</f>
        <v>0.81127812445913283</v>
      </c>
    </row>
    <row r="32" spans="1:12" x14ac:dyDescent="0.25">
      <c r="A32" s="3" t="s">
        <v>4</v>
      </c>
      <c r="B32" s="3" t="s">
        <v>22</v>
      </c>
      <c r="C32" s="3" t="s">
        <v>25</v>
      </c>
      <c r="D32" s="3" t="s">
        <v>27</v>
      </c>
      <c r="E32" s="3" t="s">
        <v>5</v>
      </c>
      <c r="G32" t="s">
        <v>86</v>
      </c>
      <c r="H32" s="2" t="s">
        <v>70</v>
      </c>
      <c r="I32" s="3"/>
      <c r="J32" s="3"/>
    </row>
    <row r="33" spans="1:13" x14ac:dyDescent="0.25">
      <c r="A33" s="3" t="s">
        <v>3</v>
      </c>
      <c r="B33" s="3" t="s">
        <v>22</v>
      </c>
      <c r="C33" s="3" t="s">
        <v>25</v>
      </c>
      <c r="D33" s="3" t="s">
        <v>27</v>
      </c>
      <c r="E33" s="3" t="s">
        <v>6</v>
      </c>
      <c r="J33" s="21">
        <f>J26*J29+J27*J30+J28*J31</f>
        <v>0.91106339301167627</v>
      </c>
    </row>
    <row r="34" spans="1:13" ht="18.75" x14ac:dyDescent="0.3">
      <c r="A34" s="3" t="s">
        <v>2</v>
      </c>
      <c r="B34" s="3" t="s">
        <v>23</v>
      </c>
      <c r="C34" s="3" t="s">
        <v>24</v>
      </c>
      <c r="D34" s="3" t="s">
        <v>26</v>
      </c>
      <c r="E34" s="3" t="s">
        <v>5</v>
      </c>
      <c r="H34" s="14" t="s">
        <v>11</v>
      </c>
      <c r="I34" s="14"/>
      <c r="J34" s="14">
        <f>-((9/14)*LOG(9/14,2)) -((5/14) * LOG(5/14,2))</f>
        <v>0.94028595867063092</v>
      </c>
    </row>
    <row r="35" spans="1:13" x14ac:dyDescent="0.25">
      <c r="A35" s="3" t="s">
        <v>2</v>
      </c>
      <c r="B35" s="3" t="s">
        <v>22</v>
      </c>
      <c r="C35" s="3" t="s">
        <v>25</v>
      </c>
      <c r="D35" s="3" t="s">
        <v>26</v>
      </c>
      <c r="E35" s="3" t="s">
        <v>6</v>
      </c>
      <c r="H35" s="16" t="s">
        <v>36</v>
      </c>
      <c r="I35" s="16"/>
      <c r="J35" s="16"/>
      <c r="K35" s="11" t="s">
        <v>71</v>
      </c>
      <c r="L35" s="11"/>
      <c r="M35" s="11"/>
    </row>
    <row r="36" spans="1:13" x14ac:dyDescent="0.25">
      <c r="A36" s="3" t="s">
        <v>4</v>
      </c>
      <c r="B36" s="3" t="s">
        <v>21</v>
      </c>
      <c r="C36" s="3" t="s">
        <v>25</v>
      </c>
      <c r="D36" s="3" t="s">
        <v>26</v>
      </c>
      <c r="E36" s="3" t="s">
        <v>6</v>
      </c>
      <c r="H36" s="15"/>
      <c r="I36" s="15"/>
      <c r="J36" s="16">
        <f>J34-J33</f>
        <v>2.9222565658954647E-2</v>
      </c>
      <c r="K36" s="11"/>
      <c r="L36" s="11"/>
      <c r="M36" s="11"/>
    </row>
    <row r="37" spans="1:13" x14ac:dyDescent="0.25">
      <c r="A37" s="3" t="s">
        <v>2</v>
      </c>
      <c r="B37" s="3" t="s">
        <v>21</v>
      </c>
      <c r="C37" s="3" t="s">
        <v>25</v>
      </c>
      <c r="D37" s="3" t="s">
        <v>27</v>
      </c>
      <c r="E37" s="3" t="s">
        <v>6</v>
      </c>
      <c r="L37" t="s">
        <v>39</v>
      </c>
    </row>
    <row r="38" spans="1:13" x14ac:dyDescent="0.25">
      <c r="A38" s="3" t="s">
        <v>3</v>
      </c>
      <c r="B38" s="3" t="s">
        <v>21</v>
      </c>
      <c r="C38" s="3" t="s">
        <v>24</v>
      </c>
      <c r="D38" s="3" t="s">
        <v>27</v>
      </c>
      <c r="E38" s="3" t="s">
        <v>6</v>
      </c>
      <c r="J38" s="22">
        <f>J34-J26*J29-J27*J30-J28*J31</f>
        <v>2.9222565658954647E-2</v>
      </c>
    </row>
    <row r="39" spans="1:13" x14ac:dyDescent="0.25">
      <c r="A39" s="3" t="s">
        <v>3</v>
      </c>
      <c r="B39" s="3" t="s">
        <v>20</v>
      </c>
      <c r="C39" s="3" t="s">
        <v>25</v>
      </c>
      <c r="D39" s="3" t="s">
        <v>26</v>
      </c>
      <c r="E39" s="3" t="s">
        <v>6</v>
      </c>
    </row>
    <row r="40" spans="1:13" x14ac:dyDescent="0.25">
      <c r="A40" s="3" t="s">
        <v>4</v>
      </c>
      <c r="B40" s="3" t="s">
        <v>21</v>
      </c>
      <c r="C40" s="3" t="s">
        <v>24</v>
      </c>
      <c r="D40" s="3" t="s">
        <v>27</v>
      </c>
      <c r="E40" s="3" t="s">
        <v>5</v>
      </c>
    </row>
    <row r="43" spans="1:13" x14ac:dyDescent="0.25">
      <c r="A43" s="2" t="s">
        <v>0</v>
      </c>
      <c r="B43" s="2" t="s">
        <v>17</v>
      </c>
      <c r="C43" s="2" t="s">
        <v>18</v>
      </c>
      <c r="D43" s="2" t="s">
        <v>19</v>
      </c>
      <c r="E43" s="2" t="s">
        <v>1</v>
      </c>
      <c r="G43" s="2" t="s">
        <v>40</v>
      </c>
    </row>
    <row r="44" spans="1:13" x14ac:dyDescent="0.25">
      <c r="A44" s="3" t="s">
        <v>2</v>
      </c>
      <c r="B44" s="3" t="s">
        <v>20</v>
      </c>
      <c r="C44" s="3" t="s">
        <v>24</v>
      </c>
      <c r="D44" s="3" t="s">
        <v>26</v>
      </c>
      <c r="E44" s="3" t="s">
        <v>5</v>
      </c>
      <c r="H44" s="3" t="s">
        <v>42</v>
      </c>
      <c r="I44" s="3"/>
      <c r="J44" s="3">
        <f>7/14</f>
        <v>0.5</v>
      </c>
    </row>
    <row r="45" spans="1:13" x14ac:dyDescent="0.25">
      <c r="A45" s="3" t="s">
        <v>2</v>
      </c>
      <c r="B45" s="3" t="s">
        <v>20</v>
      </c>
      <c r="C45" s="3" t="s">
        <v>24</v>
      </c>
      <c r="D45" s="3" t="s">
        <v>27</v>
      </c>
      <c r="E45" s="3" t="s">
        <v>5</v>
      </c>
      <c r="H45" s="3" t="s">
        <v>43</v>
      </c>
      <c r="I45" s="3"/>
      <c r="J45" s="3">
        <f>7/14</f>
        <v>0.5</v>
      </c>
    </row>
    <row r="46" spans="1:13" x14ac:dyDescent="0.25">
      <c r="A46" s="3" t="s">
        <v>3</v>
      </c>
      <c r="B46" s="3" t="s">
        <v>20</v>
      </c>
      <c r="C46" s="3" t="s">
        <v>24</v>
      </c>
      <c r="D46" s="3" t="s">
        <v>26</v>
      </c>
      <c r="E46" s="3" t="s">
        <v>6</v>
      </c>
      <c r="H46" s="3" t="s">
        <v>44</v>
      </c>
      <c r="I46" s="3"/>
      <c r="J46" s="3">
        <f>-(3/7)*LOG(3/7,2)-(4/7)*LOG(4/7,2)</f>
        <v>0.98522813603425163</v>
      </c>
    </row>
    <row r="47" spans="1:13" x14ac:dyDescent="0.25">
      <c r="A47" s="3" t="s">
        <v>4</v>
      </c>
      <c r="B47" s="3" t="s">
        <v>21</v>
      </c>
      <c r="C47" s="3" t="s">
        <v>24</v>
      </c>
      <c r="D47" s="3" t="s">
        <v>26</v>
      </c>
      <c r="E47" s="3" t="s">
        <v>6</v>
      </c>
      <c r="H47" s="3" t="s">
        <v>45</v>
      </c>
      <c r="I47" s="3"/>
      <c r="J47" s="3">
        <f>-(6/7)*LOG(6/7,2)-(1/7)*LOG(1/7,2)</f>
        <v>0.59167277858232747</v>
      </c>
    </row>
    <row r="48" spans="1:13" x14ac:dyDescent="0.25">
      <c r="A48" s="3" t="s">
        <v>4</v>
      </c>
      <c r="B48" s="3" t="s">
        <v>22</v>
      </c>
      <c r="C48" s="3" t="s">
        <v>25</v>
      </c>
      <c r="D48" s="3" t="s">
        <v>26</v>
      </c>
      <c r="E48" s="3" t="s">
        <v>6</v>
      </c>
      <c r="G48" t="s">
        <v>87</v>
      </c>
      <c r="J48">
        <f>J44*J46+J45*J47</f>
        <v>0.78845045730828955</v>
      </c>
    </row>
    <row r="49" spans="1:13" ht="18.75" x14ac:dyDescent="0.3">
      <c r="A49" s="3" t="s">
        <v>4</v>
      </c>
      <c r="B49" s="3" t="s">
        <v>22</v>
      </c>
      <c r="C49" s="3" t="s">
        <v>25</v>
      </c>
      <c r="D49" s="3" t="s">
        <v>27</v>
      </c>
      <c r="E49" s="3" t="s">
        <v>5</v>
      </c>
      <c r="H49" s="14" t="s">
        <v>11</v>
      </c>
      <c r="I49" s="14"/>
      <c r="J49" s="14">
        <f>-((9/14)*LOG(9/14,2)) -((5/14) * LOG(5/14,2))</f>
        <v>0.94028595867063092</v>
      </c>
    </row>
    <row r="50" spans="1:13" x14ac:dyDescent="0.25">
      <c r="A50" s="3" t="s">
        <v>3</v>
      </c>
      <c r="B50" s="3" t="s">
        <v>22</v>
      </c>
      <c r="C50" s="3" t="s">
        <v>25</v>
      </c>
      <c r="D50" s="3" t="s">
        <v>27</v>
      </c>
      <c r="E50" s="3" t="s">
        <v>6</v>
      </c>
    </row>
    <row r="51" spans="1:13" x14ac:dyDescent="0.25">
      <c r="A51" s="3" t="s">
        <v>2</v>
      </c>
      <c r="B51" s="3" t="s">
        <v>23</v>
      </c>
      <c r="C51" s="3" t="s">
        <v>24</v>
      </c>
      <c r="D51" s="3" t="s">
        <v>26</v>
      </c>
      <c r="E51" s="3" t="s">
        <v>5</v>
      </c>
      <c r="H51" s="15"/>
      <c r="I51" s="15"/>
      <c r="J51" s="15"/>
      <c r="K51" s="15"/>
      <c r="L51" s="15"/>
      <c r="M51" s="15"/>
    </row>
    <row r="52" spans="1:13" x14ac:dyDescent="0.25">
      <c r="A52" s="3" t="s">
        <v>2</v>
      </c>
      <c r="B52" s="3" t="s">
        <v>22</v>
      </c>
      <c r="C52" s="3" t="s">
        <v>25</v>
      </c>
      <c r="D52" s="3" t="s">
        <v>26</v>
      </c>
      <c r="E52" s="3" t="s">
        <v>6</v>
      </c>
      <c r="H52" s="16" t="s">
        <v>36</v>
      </c>
      <c r="I52" s="16"/>
      <c r="J52" s="16"/>
      <c r="K52" s="15"/>
      <c r="L52" s="15" t="s">
        <v>46</v>
      </c>
      <c r="M52" s="15"/>
    </row>
    <row r="53" spans="1:13" x14ac:dyDescent="0.25">
      <c r="A53" s="3" t="s">
        <v>4</v>
      </c>
      <c r="B53" s="3" t="s">
        <v>21</v>
      </c>
      <c r="C53" s="3" t="s">
        <v>25</v>
      </c>
      <c r="D53" s="3" t="s">
        <v>26</v>
      </c>
      <c r="E53" s="3" t="s">
        <v>6</v>
      </c>
      <c r="H53" s="15"/>
      <c r="I53" s="15"/>
      <c r="J53" s="15"/>
      <c r="K53" s="15"/>
      <c r="L53" s="23">
        <f>J49-J48</f>
        <v>0.15183550136234136</v>
      </c>
      <c r="M53" s="15"/>
    </row>
    <row r="54" spans="1:13" x14ac:dyDescent="0.25">
      <c r="A54" s="3" t="s">
        <v>2</v>
      </c>
      <c r="B54" s="3" t="s">
        <v>21</v>
      </c>
      <c r="C54" s="3" t="s">
        <v>25</v>
      </c>
      <c r="D54" s="3" t="s">
        <v>27</v>
      </c>
      <c r="E54" s="3" t="s">
        <v>6</v>
      </c>
      <c r="H54" s="15"/>
      <c r="I54" s="15"/>
      <c r="J54" s="15"/>
      <c r="K54" s="15"/>
      <c r="L54" s="15"/>
      <c r="M54" s="15"/>
    </row>
    <row r="55" spans="1:13" x14ac:dyDescent="0.25">
      <c r="A55" s="3" t="s">
        <v>3</v>
      </c>
      <c r="B55" s="3" t="s">
        <v>21</v>
      </c>
      <c r="C55" s="3" t="s">
        <v>24</v>
      </c>
      <c r="D55" s="3" t="s">
        <v>27</v>
      </c>
      <c r="E55" s="3" t="s">
        <v>6</v>
      </c>
    </row>
    <row r="56" spans="1:13" x14ac:dyDescent="0.25">
      <c r="A56" s="3" t="s">
        <v>3</v>
      </c>
      <c r="B56" s="3" t="s">
        <v>20</v>
      </c>
      <c r="C56" s="3" t="s">
        <v>25</v>
      </c>
      <c r="D56" s="3" t="s">
        <v>26</v>
      </c>
      <c r="E56" s="3" t="s">
        <v>6</v>
      </c>
    </row>
    <row r="57" spans="1:13" x14ac:dyDescent="0.25">
      <c r="A57" s="3" t="s">
        <v>4</v>
      </c>
      <c r="B57" s="3" t="s">
        <v>21</v>
      </c>
      <c r="C57" s="3" t="s">
        <v>24</v>
      </c>
      <c r="D57" s="3" t="s">
        <v>27</v>
      </c>
      <c r="E57" s="3" t="s">
        <v>5</v>
      </c>
    </row>
    <row r="61" spans="1:13" x14ac:dyDescent="0.25">
      <c r="A61" s="2" t="s">
        <v>0</v>
      </c>
      <c r="B61" s="2" t="s">
        <v>17</v>
      </c>
      <c r="C61" s="2" t="s">
        <v>18</v>
      </c>
      <c r="D61" s="2" t="s">
        <v>19</v>
      </c>
      <c r="E61" s="2" t="s">
        <v>1</v>
      </c>
      <c r="G61" s="19" t="s">
        <v>47</v>
      </c>
      <c r="H61" s="3"/>
      <c r="I61" s="3"/>
      <c r="J61" s="3"/>
    </row>
    <row r="62" spans="1:13" x14ac:dyDescent="0.25">
      <c r="A62" s="3" t="s">
        <v>2</v>
      </c>
      <c r="B62" s="3" t="s">
        <v>20</v>
      </c>
      <c r="C62" s="3" t="s">
        <v>24</v>
      </c>
      <c r="D62" s="3" t="s">
        <v>26</v>
      </c>
      <c r="E62" s="3" t="s">
        <v>5</v>
      </c>
      <c r="G62" s="3"/>
      <c r="H62" s="3" t="s">
        <v>48</v>
      </c>
      <c r="I62" s="3"/>
      <c r="J62" s="3">
        <f>6/14</f>
        <v>0.42857142857142855</v>
      </c>
    </row>
    <row r="63" spans="1:13" x14ac:dyDescent="0.25">
      <c r="A63" s="3" t="s">
        <v>2</v>
      </c>
      <c r="B63" s="3" t="s">
        <v>20</v>
      </c>
      <c r="C63" s="3" t="s">
        <v>24</v>
      </c>
      <c r="D63" s="3" t="s">
        <v>27</v>
      </c>
      <c r="E63" s="3" t="s">
        <v>5</v>
      </c>
      <c r="G63" s="3"/>
      <c r="H63" s="3" t="s">
        <v>49</v>
      </c>
      <c r="I63" s="3"/>
      <c r="J63" s="3">
        <f>8/14</f>
        <v>0.5714285714285714</v>
      </c>
    </row>
    <row r="64" spans="1:13" x14ac:dyDescent="0.25">
      <c r="A64" s="3" t="s">
        <v>3</v>
      </c>
      <c r="B64" s="3" t="s">
        <v>20</v>
      </c>
      <c r="C64" s="3" t="s">
        <v>24</v>
      </c>
      <c r="D64" s="3" t="s">
        <v>26</v>
      </c>
      <c r="E64" s="3" t="s">
        <v>6</v>
      </c>
      <c r="G64" s="3"/>
      <c r="H64" s="3" t="s">
        <v>50</v>
      </c>
      <c r="I64" s="3"/>
      <c r="J64" s="3">
        <f>-(3/6)*LOG(3/6,2)-(3/6)*LOG(3/6,2)</f>
        <v>1</v>
      </c>
    </row>
    <row r="65" spans="1:13" x14ac:dyDescent="0.25">
      <c r="A65" s="3" t="s">
        <v>4</v>
      </c>
      <c r="B65" s="3" t="s">
        <v>21</v>
      </c>
      <c r="C65" s="3" t="s">
        <v>24</v>
      </c>
      <c r="D65" s="3" t="s">
        <v>26</v>
      </c>
      <c r="E65" s="3" t="s">
        <v>6</v>
      </c>
      <c r="G65" s="3"/>
      <c r="H65" s="3" t="s">
        <v>51</v>
      </c>
      <c r="I65" s="3"/>
      <c r="J65" s="3">
        <f>-(6/8)*LOG(6/8,2)-(2/8)*LOG(2/8,2)</f>
        <v>0.81127812445913283</v>
      </c>
    </row>
    <row r="66" spans="1:13" x14ac:dyDescent="0.25">
      <c r="A66" s="3" t="s">
        <v>4</v>
      </c>
      <c r="B66" s="3" t="s">
        <v>22</v>
      </c>
      <c r="C66" s="3" t="s">
        <v>25</v>
      </c>
      <c r="D66" s="3" t="s">
        <v>26</v>
      </c>
      <c r="E66" s="3" t="s">
        <v>6</v>
      </c>
      <c r="G66" t="s">
        <v>88</v>
      </c>
      <c r="J66">
        <f>J62*J64+J63*J65</f>
        <v>0.89215892826236165</v>
      </c>
    </row>
    <row r="67" spans="1:13" ht="18.75" x14ac:dyDescent="0.3">
      <c r="A67" s="3" t="s">
        <v>4</v>
      </c>
      <c r="B67" s="3" t="s">
        <v>22</v>
      </c>
      <c r="C67" s="3" t="s">
        <v>25</v>
      </c>
      <c r="D67" s="3" t="s">
        <v>27</v>
      </c>
      <c r="E67" s="3" t="s">
        <v>5</v>
      </c>
      <c r="H67" s="4" t="s">
        <v>11</v>
      </c>
      <c r="I67" s="4"/>
      <c r="J67" s="4">
        <f>-((9/14)*LOG(9/14,2)) -((5/14) * LOG(5/14,2))</f>
        <v>0.94028595867063092</v>
      </c>
    </row>
    <row r="68" spans="1:13" x14ac:dyDescent="0.25">
      <c r="A68" s="3" t="s">
        <v>3</v>
      </c>
      <c r="B68" s="3" t="s">
        <v>22</v>
      </c>
      <c r="C68" s="3" t="s">
        <v>25</v>
      </c>
      <c r="D68" s="3" t="s">
        <v>27</v>
      </c>
      <c r="E68" s="3" t="s">
        <v>6</v>
      </c>
    </row>
    <row r="69" spans="1:13" x14ac:dyDescent="0.25">
      <c r="A69" s="3" t="s">
        <v>2</v>
      </c>
      <c r="B69" s="3" t="s">
        <v>23</v>
      </c>
      <c r="C69" s="3" t="s">
        <v>24</v>
      </c>
      <c r="D69" s="3" t="s">
        <v>26</v>
      </c>
      <c r="E69" s="3" t="s">
        <v>5</v>
      </c>
    </row>
    <row r="70" spans="1:13" x14ac:dyDescent="0.25">
      <c r="A70" s="3" t="s">
        <v>2</v>
      </c>
      <c r="B70" s="3" t="s">
        <v>22</v>
      </c>
      <c r="C70" s="3" t="s">
        <v>25</v>
      </c>
      <c r="D70" s="3" t="s">
        <v>26</v>
      </c>
      <c r="E70" s="3" t="s">
        <v>6</v>
      </c>
      <c r="H70" s="16" t="s">
        <v>36</v>
      </c>
      <c r="I70" s="16"/>
      <c r="J70" s="16"/>
      <c r="K70" s="15"/>
      <c r="L70" s="15" t="s">
        <v>52</v>
      </c>
      <c r="M70" s="15"/>
    </row>
    <row r="71" spans="1:13" x14ac:dyDescent="0.25">
      <c r="A71" s="3" t="s">
        <v>4</v>
      </c>
      <c r="B71" s="3" t="s">
        <v>21</v>
      </c>
      <c r="C71" s="3" t="s">
        <v>25</v>
      </c>
      <c r="D71" s="3" t="s">
        <v>26</v>
      </c>
      <c r="E71" s="3" t="s">
        <v>6</v>
      </c>
      <c r="H71" s="15"/>
      <c r="I71" s="15"/>
      <c r="J71" s="15"/>
      <c r="K71" s="15"/>
      <c r="L71" s="23">
        <f>J67-J66</f>
        <v>4.8127030408269267E-2</v>
      </c>
      <c r="M71" s="15"/>
    </row>
    <row r="72" spans="1:13" x14ac:dyDescent="0.25">
      <c r="A72" s="3" t="s">
        <v>2</v>
      </c>
      <c r="B72" s="3" t="s">
        <v>21</v>
      </c>
      <c r="C72" s="3" t="s">
        <v>25</v>
      </c>
      <c r="D72" s="3" t="s">
        <v>27</v>
      </c>
      <c r="E72" s="3" t="s">
        <v>6</v>
      </c>
    </row>
    <row r="73" spans="1:13" x14ac:dyDescent="0.25">
      <c r="A73" s="3" t="s">
        <v>3</v>
      </c>
      <c r="B73" s="3" t="s">
        <v>21</v>
      </c>
      <c r="C73" s="3" t="s">
        <v>24</v>
      </c>
      <c r="D73" s="3" t="s">
        <v>27</v>
      </c>
      <c r="E73" s="3" t="s">
        <v>6</v>
      </c>
    </row>
    <row r="74" spans="1:13" x14ac:dyDescent="0.25">
      <c r="A74" s="3" t="s">
        <v>3</v>
      </c>
      <c r="B74" s="3" t="s">
        <v>20</v>
      </c>
      <c r="C74" s="3" t="s">
        <v>25</v>
      </c>
      <c r="D74" s="3" t="s">
        <v>26</v>
      </c>
      <c r="E74" s="3" t="s">
        <v>6</v>
      </c>
    </row>
    <row r="75" spans="1:13" x14ac:dyDescent="0.25">
      <c r="A75" s="3" t="s">
        <v>4</v>
      </c>
      <c r="B75" s="3" t="s">
        <v>21</v>
      </c>
      <c r="C75" s="3" t="s">
        <v>24</v>
      </c>
      <c r="D75" s="3" t="s">
        <v>27</v>
      </c>
      <c r="E75" s="3" t="s">
        <v>5</v>
      </c>
    </row>
    <row r="77" spans="1:13" x14ac:dyDescent="0.25">
      <c r="I77" s="25" t="s">
        <v>41</v>
      </c>
      <c r="J77" s="25"/>
      <c r="K77" s="25"/>
      <c r="L77" s="25"/>
      <c r="M77" s="25"/>
    </row>
    <row r="78" spans="1:13" x14ac:dyDescent="0.25">
      <c r="I78" t="s">
        <v>85</v>
      </c>
    </row>
    <row r="80" spans="1:13" x14ac:dyDescent="0.25">
      <c r="C80" s="58" t="s">
        <v>84</v>
      </c>
      <c r="D80" s="59"/>
      <c r="E80" s="59"/>
      <c r="F80" s="59"/>
      <c r="G80" s="59"/>
      <c r="H80" s="59"/>
      <c r="I80" s="59"/>
    </row>
    <row r="81" spans="3:9" x14ac:dyDescent="0.25">
      <c r="C81" s="59"/>
      <c r="D81" s="59"/>
      <c r="E81" s="59"/>
      <c r="F81" s="59"/>
      <c r="G81" s="59"/>
      <c r="H81" s="59"/>
      <c r="I81" s="59"/>
    </row>
    <row r="82" spans="3:9" x14ac:dyDescent="0.25">
      <c r="C82" s="59"/>
      <c r="D82" s="59"/>
      <c r="E82" s="59"/>
      <c r="F82" s="59"/>
      <c r="G82" s="59"/>
      <c r="H82" s="59"/>
      <c r="I82" s="59"/>
    </row>
    <row r="83" spans="3:9" x14ac:dyDescent="0.25">
      <c r="C83" s="59"/>
      <c r="D83" s="59"/>
      <c r="E83" s="59"/>
      <c r="F83" s="59"/>
      <c r="G83" s="59"/>
      <c r="H83" s="59"/>
      <c r="I83" s="59"/>
    </row>
    <row r="84" spans="3:9" x14ac:dyDescent="0.25">
      <c r="C84" s="59"/>
      <c r="D84" s="59"/>
      <c r="E84" s="59"/>
      <c r="F84" s="59"/>
      <c r="G84" s="59"/>
      <c r="H84" s="59"/>
      <c r="I84" s="59"/>
    </row>
    <row r="85" spans="3:9" x14ac:dyDescent="0.25">
      <c r="C85" s="59"/>
      <c r="D85" s="59"/>
      <c r="E85" s="59"/>
      <c r="F85" s="59"/>
      <c r="G85" s="59"/>
      <c r="H85" s="59"/>
      <c r="I85" s="59"/>
    </row>
    <row r="86" spans="3:9" x14ac:dyDescent="0.25">
      <c r="C86" s="59"/>
      <c r="D86" s="59"/>
      <c r="E86" s="59"/>
      <c r="F86" s="59"/>
      <c r="G86" s="59"/>
      <c r="H86" s="59"/>
      <c r="I86" s="59"/>
    </row>
    <row r="87" spans="3:9" x14ac:dyDescent="0.25">
      <c r="C87" s="59"/>
      <c r="D87" s="59"/>
      <c r="E87" s="59"/>
      <c r="F87" s="59"/>
      <c r="G87" s="59"/>
      <c r="H87" s="59"/>
      <c r="I87" s="59"/>
    </row>
    <row r="88" spans="3:9" x14ac:dyDescent="0.25">
      <c r="C88" s="59"/>
      <c r="D88" s="59"/>
      <c r="E88" s="59"/>
      <c r="F88" s="59"/>
      <c r="G88" s="59"/>
      <c r="H88" s="59"/>
      <c r="I88" s="59"/>
    </row>
    <row r="89" spans="3:9" x14ac:dyDescent="0.25">
      <c r="C89" s="59"/>
      <c r="D89" s="59"/>
      <c r="E89" s="59"/>
      <c r="F89" s="59"/>
      <c r="G89" s="59"/>
      <c r="H89" s="59"/>
      <c r="I89" s="59"/>
    </row>
    <row r="90" spans="3:9" x14ac:dyDescent="0.25">
      <c r="C90" s="59"/>
      <c r="D90" s="59"/>
      <c r="E90" s="59"/>
      <c r="F90" s="59"/>
      <c r="G90" s="59"/>
      <c r="H90" s="59"/>
      <c r="I90" s="59"/>
    </row>
    <row r="91" spans="3:9" x14ac:dyDescent="0.25">
      <c r="C91" s="59"/>
      <c r="D91" s="59"/>
      <c r="E91" s="59"/>
      <c r="F91" s="59"/>
      <c r="G91" s="59"/>
      <c r="H91" s="59"/>
      <c r="I91" s="59"/>
    </row>
    <row r="92" spans="3:9" x14ac:dyDescent="0.25">
      <c r="C92" s="59"/>
      <c r="D92" s="59"/>
      <c r="E92" s="59"/>
      <c r="F92" s="59"/>
      <c r="G92" s="59"/>
      <c r="H92" s="59"/>
      <c r="I92" s="59"/>
    </row>
    <row r="93" spans="3:9" x14ac:dyDescent="0.25">
      <c r="C93" s="59"/>
      <c r="D93" s="59"/>
      <c r="E93" s="59"/>
      <c r="F93" s="59"/>
      <c r="G93" s="59"/>
      <c r="H93" s="59"/>
      <c r="I93" s="59"/>
    </row>
    <row r="94" spans="3:9" x14ac:dyDescent="0.25">
      <c r="C94" s="59"/>
      <c r="D94" s="59"/>
      <c r="E94" s="59"/>
      <c r="F94" s="59"/>
      <c r="G94" s="59"/>
      <c r="H94" s="59"/>
      <c r="I94" s="59"/>
    </row>
    <row r="95" spans="3:9" x14ac:dyDescent="0.25">
      <c r="C95" s="59"/>
      <c r="D95" s="59"/>
      <c r="E95" s="59"/>
      <c r="F95" s="59"/>
      <c r="G95" s="59"/>
      <c r="H95" s="59"/>
      <c r="I95" s="59"/>
    </row>
    <row r="96" spans="3:9" x14ac:dyDescent="0.25">
      <c r="C96" s="59"/>
      <c r="D96" s="59"/>
      <c r="E96" s="59"/>
      <c r="F96" s="59"/>
      <c r="G96" s="59"/>
      <c r="H96" s="59"/>
      <c r="I96" s="59"/>
    </row>
    <row r="97" spans="3:9" x14ac:dyDescent="0.25">
      <c r="C97" s="59"/>
      <c r="D97" s="59"/>
      <c r="E97" s="59"/>
      <c r="F97" s="59"/>
      <c r="G97" s="59"/>
      <c r="H97" s="59"/>
      <c r="I97" s="59"/>
    </row>
    <row r="98" spans="3:9" x14ac:dyDescent="0.25">
      <c r="C98" s="59"/>
      <c r="D98" s="59"/>
      <c r="E98" s="59"/>
      <c r="F98" s="59"/>
      <c r="G98" s="59"/>
      <c r="H98" s="59"/>
      <c r="I98" s="59"/>
    </row>
    <row r="99" spans="3:9" x14ac:dyDescent="0.25">
      <c r="C99" s="59"/>
      <c r="D99" s="59"/>
      <c r="E99" s="59"/>
      <c r="F99" s="59"/>
      <c r="G99" s="59"/>
      <c r="H99" s="59"/>
      <c r="I99" s="59"/>
    </row>
    <row r="100" spans="3:9" x14ac:dyDescent="0.25">
      <c r="C100" s="59"/>
      <c r="D100" s="59"/>
      <c r="E100" s="59"/>
      <c r="F100" s="59"/>
      <c r="G100" s="59"/>
      <c r="H100" s="59"/>
      <c r="I100" s="59"/>
    </row>
    <row r="101" spans="3:9" x14ac:dyDescent="0.25">
      <c r="C101" s="59"/>
      <c r="D101" s="59"/>
      <c r="E101" s="59"/>
      <c r="F101" s="59"/>
      <c r="G101" s="59"/>
      <c r="H101" s="59"/>
      <c r="I101" s="59"/>
    </row>
    <row r="102" spans="3:9" x14ac:dyDescent="0.25">
      <c r="C102" s="59"/>
      <c r="D102" s="59"/>
      <c r="E102" s="59"/>
      <c r="F102" s="59"/>
      <c r="G102" s="59"/>
      <c r="H102" s="59"/>
      <c r="I102" s="59"/>
    </row>
    <row r="103" spans="3:9" x14ac:dyDescent="0.25">
      <c r="C103" s="59"/>
      <c r="D103" s="59"/>
      <c r="E103" s="59"/>
      <c r="F103" s="59"/>
      <c r="G103" s="59"/>
      <c r="H103" s="59"/>
      <c r="I103" s="59"/>
    </row>
    <row r="104" spans="3:9" x14ac:dyDescent="0.25">
      <c r="C104" s="59"/>
      <c r="D104" s="59"/>
      <c r="E104" s="59"/>
      <c r="F104" s="59"/>
      <c r="G104" s="59"/>
      <c r="H104" s="59"/>
      <c r="I104" s="59"/>
    </row>
    <row r="105" spans="3:9" x14ac:dyDescent="0.25">
      <c r="C105" s="59"/>
      <c r="D105" s="59"/>
      <c r="E105" s="59"/>
      <c r="F105" s="59"/>
      <c r="G105" s="59"/>
      <c r="H105" s="59"/>
      <c r="I105" s="59"/>
    </row>
    <row r="106" spans="3:9" x14ac:dyDescent="0.25">
      <c r="C106" s="59"/>
      <c r="D106" s="59"/>
      <c r="E106" s="59"/>
      <c r="F106" s="59"/>
      <c r="G106" s="59"/>
      <c r="H106" s="59"/>
      <c r="I106" s="59"/>
    </row>
    <row r="107" spans="3:9" x14ac:dyDescent="0.25">
      <c r="C107" s="59"/>
      <c r="D107" s="59"/>
      <c r="E107" s="59"/>
      <c r="F107" s="59"/>
      <c r="G107" s="59"/>
      <c r="H107" s="59"/>
      <c r="I107" s="59"/>
    </row>
    <row r="108" spans="3:9" x14ac:dyDescent="0.25">
      <c r="C108" s="59"/>
      <c r="D108" s="59"/>
      <c r="E108" s="59"/>
      <c r="F108" s="59"/>
      <c r="G108" s="59"/>
      <c r="H108" s="59"/>
      <c r="I108" s="59"/>
    </row>
    <row r="109" spans="3:9" x14ac:dyDescent="0.25">
      <c r="C109" s="59"/>
      <c r="D109" s="59"/>
      <c r="E109" s="59"/>
      <c r="F109" s="59"/>
      <c r="G109" s="59"/>
      <c r="H109" s="59"/>
      <c r="I109" s="59"/>
    </row>
    <row r="110" spans="3:9" x14ac:dyDescent="0.25">
      <c r="C110" s="59"/>
      <c r="D110" s="59"/>
      <c r="E110" s="59"/>
      <c r="F110" s="59"/>
      <c r="G110" s="59"/>
      <c r="H110" s="59"/>
      <c r="I110" s="59"/>
    </row>
    <row r="111" spans="3:9" x14ac:dyDescent="0.25">
      <c r="C111" s="59"/>
      <c r="D111" s="59"/>
      <c r="E111" s="59"/>
      <c r="F111" s="59"/>
      <c r="G111" s="59"/>
      <c r="H111" s="59"/>
      <c r="I111" s="59"/>
    </row>
    <row r="112" spans="3:9" x14ac:dyDescent="0.25">
      <c r="C112" s="59"/>
      <c r="D112" s="59"/>
      <c r="E112" s="59"/>
      <c r="F112" s="59"/>
      <c r="G112" s="59"/>
      <c r="H112" s="59"/>
      <c r="I112" s="59"/>
    </row>
    <row r="113" spans="3:9" x14ac:dyDescent="0.25">
      <c r="C113" s="59"/>
      <c r="D113" s="59"/>
      <c r="E113" s="59"/>
      <c r="F113" s="59"/>
      <c r="G113" s="59"/>
      <c r="H113" s="59"/>
      <c r="I113" s="59"/>
    </row>
    <row r="114" spans="3:9" x14ac:dyDescent="0.25">
      <c r="C114" s="59"/>
      <c r="D114" s="59"/>
      <c r="E114" s="59"/>
      <c r="F114" s="59"/>
      <c r="G114" s="59"/>
      <c r="H114" s="59"/>
      <c r="I114" s="59"/>
    </row>
  </sheetData>
  <mergeCells count="1">
    <mergeCell ref="C80:I1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AC85-D3EE-43A5-9651-F9780098D1F8}">
  <dimension ref="A1:O72"/>
  <sheetViews>
    <sheetView topLeftCell="D16" zoomScale="170" zoomScaleNormal="170" workbookViewId="0">
      <selection activeCell="J23" sqref="J23"/>
    </sheetView>
  </sheetViews>
  <sheetFormatPr defaultRowHeight="15" x14ac:dyDescent="0.25"/>
  <cols>
    <col min="7" max="7" width="10.85546875" customWidth="1"/>
    <col min="10" max="10" width="9.5703125" bestFit="1" customWidth="1"/>
  </cols>
  <sheetData>
    <row r="1" spans="1:15" x14ac:dyDescent="0.25">
      <c r="A1" s="2" t="s">
        <v>0</v>
      </c>
      <c r="B1" s="2" t="s">
        <v>17</v>
      </c>
      <c r="C1" s="2" t="s">
        <v>18</v>
      </c>
      <c r="D1" s="2" t="s">
        <v>19</v>
      </c>
      <c r="E1" s="2" t="s">
        <v>1</v>
      </c>
      <c r="G1" s="6" t="s">
        <v>34</v>
      </c>
      <c r="H1" t="s">
        <v>2</v>
      </c>
      <c r="I1" t="s">
        <v>6</v>
      </c>
      <c r="J1">
        <f t="shared" ref="J1:J6" si="0">COUNTIFS($A$2:$A$15,H1,$E$2:$E$15,I1)</f>
        <v>2</v>
      </c>
    </row>
    <row r="2" spans="1:15" x14ac:dyDescent="0.25">
      <c r="A2" s="3" t="s">
        <v>2</v>
      </c>
      <c r="B2" s="3" t="s">
        <v>20</v>
      </c>
      <c r="C2" s="3" t="s">
        <v>24</v>
      </c>
      <c r="D2" s="3" t="s">
        <v>26</v>
      </c>
      <c r="E2" s="3" t="s">
        <v>5</v>
      </c>
      <c r="H2" t="s">
        <v>2</v>
      </c>
      <c r="I2" t="s">
        <v>5</v>
      </c>
      <c r="J2">
        <f t="shared" si="0"/>
        <v>3</v>
      </c>
      <c r="L2" t="s">
        <v>2</v>
      </c>
      <c r="M2">
        <f>COUNTIF($A$2:$A$15,L2)</f>
        <v>5</v>
      </c>
    </row>
    <row r="3" spans="1:15" x14ac:dyDescent="0.25">
      <c r="A3" s="3" t="s">
        <v>2</v>
      </c>
      <c r="B3" s="3" t="s">
        <v>20</v>
      </c>
      <c r="C3" s="3" t="s">
        <v>24</v>
      </c>
      <c r="D3" s="3" t="s">
        <v>27</v>
      </c>
      <c r="E3" s="3" t="s">
        <v>5</v>
      </c>
      <c r="H3" t="s">
        <v>3</v>
      </c>
      <c r="I3" t="s">
        <v>6</v>
      </c>
      <c r="J3">
        <f t="shared" si="0"/>
        <v>4</v>
      </c>
      <c r="L3" t="s">
        <v>3</v>
      </c>
      <c r="M3">
        <f>COUNTIF($A$2:$A$15,L3)</f>
        <v>4</v>
      </c>
    </row>
    <row r="4" spans="1:15" x14ac:dyDescent="0.25">
      <c r="A4" s="3" t="s">
        <v>3</v>
      </c>
      <c r="B4" s="3" t="s">
        <v>20</v>
      </c>
      <c r="C4" s="3" t="s">
        <v>24</v>
      </c>
      <c r="D4" s="3" t="s">
        <v>26</v>
      </c>
      <c r="E4" s="3" t="s">
        <v>6</v>
      </c>
      <c r="H4" t="s">
        <v>3</v>
      </c>
      <c r="I4" t="s">
        <v>5</v>
      </c>
      <c r="J4">
        <f t="shared" si="0"/>
        <v>0</v>
      </c>
      <c r="L4" t="s">
        <v>4</v>
      </c>
      <c r="M4">
        <f>COUNTIF($A$2:$A$15,L4)</f>
        <v>5</v>
      </c>
    </row>
    <row r="5" spans="1:15" x14ac:dyDescent="0.25">
      <c r="A5" s="3" t="s">
        <v>4</v>
      </c>
      <c r="B5" s="3" t="s">
        <v>21</v>
      </c>
      <c r="C5" s="3" t="s">
        <v>24</v>
      </c>
      <c r="D5" s="3" t="s">
        <v>26</v>
      </c>
      <c r="E5" s="3" t="s">
        <v>6</v>
      </c>
      <c r="H5" t="s">
        <v>4</v>
      </c>
      <c r="I5" t="s">
        <v>6</v>
      </c>
      <c r="J5">
        <f t="shared" si="0"/>
        <v>3</v>
      </c>
    </row>
    <row r="6" spans="1:15" x14ac:dyDescent="0.25">
      <c r="A6" s="3" t="s">
        <v>4</v>
      </c>
      <c r="B6" s="3" t="s">
        <v>22</v>
      </c>
      <c r="C6" s="3" t="s">
        <v>25</v>
      </c>
      <c r="D6" s="3" t="s">
        <v>26</v>
      </c>
      <c r="E6" s="3" t="s">
        <v>6</v>
      </c>
      <c r="H6" t="s">
        <v>4</v>
      </c>
      <c r="I6" t="s">
        <v>5</v>
      </c>
      <c r="J6">
        <f t="shared" si="0"/>
        <v>2</v>
      </c>
      <c r="L6" t="s">
        <v>6</v>
      </c>
      <c r="M6">
        <f>COUNTIF($E$2:$E$15,L6)</f>
        <v>9</v>
      </c>
    </row>
    <row r="7" spans="1:15" x14ac:dyDescent="0.25">
      <c r="A7" s="3" t="s">
        <v>4</v>
      </c>
      <c r="B7" s="3" t="s">
        <v>22</v>
      </c>
      <c r="C7" s="3" t="s">
        <v>25</v>
      </c>
      <c r="D7" s="3" t="s">
        <v>27</v>
      </c>
      <c r="E7" s="3" t="s">
        <v>5</v>
      </c>
      <c r="L7" t="s">
        <v>5</v>
      </c>
      <c r="M7">
        <f>COUNTIF($E$2:$E$15,L7)</f>
        <v>5</v>
      </c>
    </row>
    <row r="8" spans="1:15" x14ac:dyDescent="0.25">
      <c r="A8" s="3" t="s">
        <v>3</v>
      </c>
      <c r="B8" s="3" t="s">
        <v>22</v>
      </c>
      <c r="C8" s="3" t="s">
        <v>25</v>
      </c>
      <c r="D8" s="3" t="s">
        <v>27</v>
      </c>
      <c r="E8" s="3" t="s">
        <v>6</v>
      </c>
    </row>
    <row r="9" spans="1:15" x14ac:dyDescent="0.25">
      <c r="A9" s="3" t="s">
        <v>2</v>
      </c>
      <c r="B9" s="3" t="s">
        <v>23</v>
      </c>
      <c r="C9" s="3" t="s">
        <v>24</v>
      </c>
      <c r="D9" s="3" t="s">
        <v>26</v>
      </c>
      <c r="E9" s="3" t="s">
        <v>5</v>
      </c>
      <c r="H9" t="s">
        <v>8</v>
      </c>
      <c r="J9">
        <f>M2/14</f>
        <v>0.35714285714285715</v>
      </c>
    </row>
    <row r="10" spans="1:15" x14ac:dyDescent="0.25">
      <c r="A10" s="3" t="s">
        <v>2</v>
      </c>
      <c r="B10" s="3" t="s">
        <v>22</v>
      </c>
      <c r="C10" s="3" t="s">
        <v>25</v>
      </c>
      <c r="D10" s="3" t="s">
        <v>26</v>
      </c>
      <c r="E10" s="3" t="s">
        <v>6</v>
      </c>
      <c r="H10" t="s">
        <v>9</v>
      </c>
      <c r="J10">
        <f>M3/14</f>
        <v>0.2857142857142857</v>
      </c>
      <c r="N10" s="7" t="s">
        <v>75</v>
      </c>
      <c r="O10" s="5">
        <f>1-POWER(M6/14,2)-POWER(M7/14,2)</f>
        <v>0.45918367346938771</v>
      </c>
    </row>
    <row r="11" spans="1:15" x14ac:dyDescent="0.25">
      <c r="A11" s="3" t="s">
        <v>4</v>
      </c>
      <c r="B11" s="3" t="s">
        <v>21</v>
      </c>
      <c r="C11" s="3" t="s">
        <v>25</v>
      </c>
      <c r="D11" s="3" t="s">
        <v>26</v>
      </c>
      <c r="E11" s="3" t="s">
        <v>6</v>
      </c>
      <c r="H11" t="s">
        <v>10</v>
      </c>
      <c r="J11">
        <f>M4/14</f>
        <v>0.35714285714285715</v>
      </c>
    </row>
    <row r="12" spans="1:15" x14ac:dyDescent="0.25">
      <c r="A12" s="3" t="s">
        <v>2</v>
      </c>
      <c r="B12" s="3" t="s">
        <v>21</v>
      </c>
      <c r="C12" s="3" t="s">
        <v>25</v>
      </c>
      <c r="D12" s="3" t="s">
        <v>27</v>
      </c>
      <c r="E12" s="3" t="s">
        <v>6</v>
      </c>
      <c r="H12" t="s">
        <v>53</v>
      </c>
      <c r="J12">
        <f>1-(2/5*2/5)-(3/5*3/5)</f>
        <v>0.48</v>
      </c>
      <c r="K12">
        <f>1-((J1/M2*J1/M2)+(J2/M2*J2/M2))</f>
        <v>0.48</v>
      </c>
    </row>
    <row r="13" spans="1:15" x14ac:dyDescent="0.25">
      <c r="A13" s="3" t="s">
        <v>3</v>
      </c>
      <c r="B13" s="3" t="s">
        <v>21</v>
      </c>
      <c r="C13" s="3" t="s">
        <v>24</v>
      </c>
      <c r="D13" s="3" t="s">
        <v>27</v>
      </c>
      <c r="E13" s="3" t="s">
        <v>6</v>
      </c>
      <c r="H13" t="s">
        <v>54</v>
      </c>
      <c r="J13">
        <f>1-(J3/M3*J3/M3)-(J4/M3*J4/M3)</f>
        <v>0</v>
      </c>
      <c r="L13">
        <f>1-(4/4*4/4)-(0/4*0/4)</f>
        <v>0</v>
      </c>
    </row>
    <row r="14" spans="1:15" x14ac:dyDescent="0.25">
      <c r="A14" s="3" t="s">
        <v>3</v>
      </c>
      <c r="B14" s="3" t="s">
        <v>20</v>
      </c>
      <c r="C14" s="3" t="s">
        <v>25</v>
      </c>
      <c r="D14" s="3" t="s">
        <v>26</v>
      </c>
      <c r="E14" s="3" t="s">
        <v>6</v>
      </c>
      <c r="H14" t="s">
        <v>55</v>
      </c>
      <c r="J14">
        <f>1-(J5/M4*J5/M4)-(J6/M4*J6/M4)</f>
        <v>0.48</v>
      </c>
      <c r="K14">
        <f>1-((J5/M4*J5/M4)+(J6/M4*J6/M4))</f>
        <v>0.48</v>
      </c>
    </row>
    <row r="15" spans="1:15" x14ac:dyDescent="0.25">
      <c r="A15" s="3" t="s">
        <v>4</v>
      </c>
      <c r="B15" s="3" t="s">
        <v>21</v>
      </c>
      <c r="C15" s="3" t="s">
        <v>24</v>
      </c>
      <c r="D15" s="3" t="s">
        <v>27</v>
      </c>
      <c r="E15" s="3" t="s">
        <v>5</v>
      </c>
    </row>
    <row r="16" spans="1:15" x14ac:dyDescent="0.25">
      <c r="H16" t="s">
        <v>56</v>
      </c>
    </row>
    <row r="17" spans="1:10" x14ac:dyDescent="0.25">
      <c r="J17" s="5">
        <f>(J9*J12)+(J10*J13)+(J11*J14)</f>
        <v>0.34285714285714286</v>
      </c>
    </row>
    <row r="18" spans="1:10" ht="18.75" x14ac:dyDescent="0.3">
      <c r="G18" s="12" t="s">
        <v>77</v>
      </c>
      <c r="H18" s="12"/>
      <c r="I18" s="12">
        <f>O10-J17</f>
        <v>0.11632653061224485</v>
      </c>
    </row>
    <row r="20" spans="1:10" x14ac:dyDescent="0.25">
      <c r="A20" s="2" t="s">
        <v>0</v>
      </c>
      <c r="B20" s="2" t="s">
        <v>17</v>
      </c>
      <c r="C20" s="2" t="s">
        <v>18</v>
      </c>
      <c r="D20" s="2" t="s">
        <v>19</v>
      </c>
      <c r="E20" s="2" t="s">
        <v>1</v>
      </c>
      <c r="G20" s="7" t="s">
        <v>35</v>
      </c>
      <c r="H20" t="s">
        <v>28</v>
      </c>
      <c r="J20">
        <f>4/14</f>
        <v>0.2857142857142857</v>
      </c>
    </row>
    <row r="21" spans="1:10" x14ac:dyDescent="0.25">
      <c r="A21" s="3" t="s">
        <v>2</v>
      </c>
      <c r="B21" s="3" t="s">
        <v>20</v>
      </c>
      <c r="C21" s="3" t="s">
        <v>24</v>
      </c>
      <c r="D21" s="3" t="s">
        <v>26</v>
      </c>
      <c r="E21" s="3" t="s">
        <v>5</v>
      </c>
      <c r="H21" t="s">
        <v>29</v>
      </c>
      <c r="J21">
        <f>6/14</f>
        <v>0.42857142857142855</v>
      </c>
    </row>
    <row r="22" spans="1:10" x14ac:dyDescent="0.25">
      <c r="A22" s="3" t="s">
        <v>2</v>
      </c>
      <c r="B22" s="3" t="s">
        <v>20</v>
      </c>
      <c r="C22" s="3" t="s">
        <v>24</v>
      </c>
      <c r="D22" s="3" t="s">
        <v>27</v>
      </c>
      <c r="E22" s="3" t="s">
        <v>5</v>
      </c>
      <c r="H22" t="s">
        <v>30</v>
      </c>
      <c r="J22">
        <f>4/14</f>
        <v>0.2857142857142857</v>
      </c>
    </row>
    <row r="23" spans="1:10" x14ac:dyDescent="0.25">
      <c r="A23" s="3" t="s">
        <v>3</v>
      </c>
      <c r="B23" s="3" t="s">
        <v>20</v>
      </c>
      <c r="C23" s="3" t="s">
        <v>24</v>
      </c>
      <c r="D23" s="3" t="s">
        <v>26</v>
      </c>
      <c r="E23" s="3" t="s">
        <v>6</v>
      </c>
      <c r="H23" t="s">
        <v>57</v>
      </c>
      <c r="J23">
        <f>1-(2/4*2/4)-(2/4*2/4)</f>
        <v>0.5</v>
      </c>
    </row>
    <row r="24" spans="1:10" x14ac:dyDescent="0.25">
      <c r="A24" s="3" t="s">
        <v>4</v>
      </c>
      <c r="B24" s="3" t="s">
        <v>21</v>
      </c>
      <c r="C24" s="3" t="s">
        <v>24</v>
      </c>
      <c r="D24" s="3" t="s">
        <v>26</v>
      </c>
      <c r="E24" s="3" t="s">
        <v>6</v>
      </c>
      <c r="H24" t="s">
        <v>58</v>
      </c>
      <c r="J24">
        <f>1-(4/6*4/6)-(2/6*2/6)</f>
        <v>0.44444444444444448</v>
      </c>
    </row>
    <row r="25" spans="1:10" x14ac:dyDescent="0.25">
      <c r="A25" s="3" t="s">
        <v>4</v>
      </c>
      <c r="B25" s="3" t="s">
        <v>22</v>
      </c>
      <c r="C25" s="3" t="s">
        <v>25</v>
      </c>
      <c r="D25" s="3" t="s">
        <v>26</v>
      </c>
      <c r="E25" s="3" t="s">
        <v>6</v>
      </c>
      <c r="H25" t="s">
        <v>59</v>
      </c>
      <c r="J25">
        <f>1-(3/4*3/4)-(1/4*1/4)</f>
        <v>0.375</v>
      </c>
    </row>
    <row r="26" spans="1:10" x14ac:dyDescent="0.25">
      <c r="A26" s="3" t="s">
        <v>4</v>
      </c>
      <c r="B26" s="3" t="s">
        <v>22</v>
      </c>
      <c r="C26" s="3" t="s">
        <v>25</v>
      </c>
      <c r="D26" s="3" t="s">
        <v>27</v>
      </c>
      <c r="E26" s="3" t="s">
        <v>5</v>
      </c>
    </row>
    <row r="27" spans="1:10" ht="18.75" x14ac:dyDescent="0.3">
      <c r="A27" s="3" t="s">
        <v>3</v>
      </c>
      <c r="B27" s="3" t="s">
        <v>22</v>
      </c>
      <c r="C27" s="3" t="s">
        <v>25</v>
      </c>
      <c r="D27" s="3" t="s">
        <v>27</v>
      </c>
      <c r="E27" s="3" t="s">
        <v>6</v>
      </c>
      <c r="H27" s="4"/>
      <c r="I27" s="4"/>
      <c r="J27" s="4"/>
    </row>
    <row r="28" spans="1:10" x14ac:dyDescent="0.25">
      <c r="A28" s="3" t="s">
        <v>2</v>
      </c>
      <c r="B28" s="3" t="s">
        <v>23</v>
      </c>
      <c r="C28" s="3" t="s">
        <v>24</v>
      </c>
      <c r="D28" s="3" t="s">
        <v>26</v>
      </c>
      <c r="E28" s="3" t="s">
        <v>5</v>
      </c>
    </row>
    <row r="29" spans="1:10" x14ac:dyDescent="0.25">
      <c r="A29" s="3" t="s">
        <v>2</v>
      </c>
      <c r="B29" s="3" t="s">
        <v>22</v>
      </c>
      <c r="C29" s="3" t="s">
        <v>25</v>
      </c>
      <c r="D29" s="3" t="s">
        <v>26</v>
      </c>
      <c r="E29" s="3" t="s">
        <v>6</v>
      </c>
      <c r="H29" t="s">
        <v>60</v>
      </c>
    </row>
    <row r="30" spans="1:10" x14ac:dyDescent="0.25">
      <c r="A30" s="3" t="s">
        <v>4</v>
      </c>
      <c r="B30" s="3" t="s">
        <v>21</v>
      </c>
      <c r="C30" s="3" t="s">
        <v>25</v>
      </c>
      <c r="D30" s="3" t="s">
        <v>26</v>
      </c>
      <c r="E30" s="3" t="s">
        <v>6</v>
      </c>
      <c r="J30" s="8">
        <f>(J20*J23)+(J21*J24)+(J22*J25)</f>
        <v>0.44047619047619047</v>
      </c>
    </row>
    <row r="31" spans="1:10" x14ac:dyDescent="0.25">
      <c r="A31" s="3" t="s">
        <v>2</v>
      </c>
      <c r="B31" s="3" t="s">
        <v>21</v>
      </c>
      <c r="C31" s="3" t="s">
        <v>25</v>
      </c>
      <c r="D31" s="3" t="s">
        <v>27</v>
      </c>
      <c r="E31" s="3" t="s">
        <v>6</v>
      </c>
    </row>
    <row r="32" spans="1:10" ht="18.75" x14ac:dyDescent="0.3">
      <c r="A32" s="3" t="s">
        <v>3</v>
      </c>
      <c r="B32" s="3" t="s">
        <v>21</v>
      </c>
      <c r="C32" s="3" t="s">
        <v>24</v>
      </c>
      <c r="D32" s="3" t="s">
        <v>27</v>
      </c>
      <c r="E32" s="3" t="s">
        <v>6</v>
      </c>
      <c r="G32" s="12" t="s">
        <v>78</v>
      </c>
      <c r="H32" s="12"/>
      <c r="I32" s="13">
        <f>O10-J30</f>
        <v>1.8707482993197244E-2</v>
      </c>
    </row>
    <row r="33" spans="1:10" x14ac:dyDescent="0.25">
      <c r="A33" s="3" t="s">
        <v>3</v>
      </c>
      <c r="B33" s="3" t="s">
        <v>20</v>
      </c>
      <c r="C33" s="3" t="s">
        <v>25</v>
      </c>
      <c r="D33" s="3" t="s">
        <v>26</v>
      </c>
      <c r="E33" s="3" t="s">
        <v>6</v>
      </c>
    </row>
    <row r="34" spans="1:10" x14ac:dyDescent="0.25">
      <c r="A34" s="3" t="s">
        <v>4</v>
      </c>
      <c r="B34" s="3" t="s">
        <v>21</v>
      </c>
      <c r="C34" s="3" t="s">
        <v>24</v>
      </c>
      <c r="D34" s="3" t="s">
        <v>27</v>
      </c>
      <c r="E34" s="3" t="s">
        <v>5</v>
      </c>
    </row>
    <row r="37" spans="1:10" x14ac:dyDescent="0.25">
      <c r="A37" s="2" t="s">
        <v>0</v>
      </c>
      <c r="B37" s="2" t="s">
        <v>17</v>
      </c>
      <c r="C37" s="2" t="s">
        <v>18</v>
      </c>
      <c r="D37" s="2" t="s">
        <v>19</v>
      </c>
      <c r="E37" s="2" t="s">
        <v>1</v>
      </c>
      <c r="G37" s="7" t="s">
        <v>40</v>
      </c>
    </row>
    <row r="38" spans="1:10" x14ac:dyDescent="0.25">
      <c r="A38" s="3" t="s">
        <v>2</v>
      </c>
      <c r="B38" s="3" t="s">
        <v>20</v>
      </c>
      <c r="C38" s="3" t="s">
        <v>24</v>
      </c>
      <c r="D38" s="3" t="s">
        <v>26</v>
      </c>
      <c r="E38" s="3" t="s">
        <v>5</v>
      </c>
      <c r="H38" t="s">
        <v>42</v>
      </c>
      <c r="J38">
        <f>7/14</f>
        <v>0.5</v>
      </c>
    </row>
    <row r="39" spans="1:10" x14ac:dyDescent="0.25">
      <c r="A39" s="3" t="s">
        <v>2</v>
      </c>
      <c r="B39" s="3" t="s">
        <v>20</v>
      </c>
      <c r="C39" s="3" t="s">
        <v>24</v>
      </c>
      <c r="D39" s="3" t="s">
        <v>27</v>
      </c>
      <c r="E39" s="3" t="s">
        <v>5</v>
      </c>
      <c r="H39" t="s">
        <v>43</v>
      </c>
      <c r="J39">
        <f>7/14</f>
        <v>0.5</v>
      </c>
    </row>
    <row r="40" spans="1:10" x14ac:dyDescent="0.25">
      <c r="A40" s="3" t="s">
        <v>3</v>
      </c>
      <c r="B40" s="3" t="s">
        <v>20</v>
      </c>
      <c r="C40" s="3" t="s">
        <v>24</v>
      </c>
      <c r="D40" s="3" t="s">
        <v>26</v>
      </c>
      <c r="E40" s="3" t="s">
        <v>6</v>
      </c>
      <c r="H40" t="s">
        <v>61</v>
      </c>
      <c r="J40">
        <f>1-(3/7*3/7)-(4/7*4/7)</f>
        <v>0.48979591836734698</v>
      </c>
    </row>
    <row r="41" spans="1:10" x14ac:dyDescent="0.25">
      <c r="A41" s="3" t="s">
        <v>4</v>
      </c>
      <c r="B41" s="3" t="s">
        <v>21</v>
      </c>
      <c r="C41" s="3" t="s">
        <v>24</v>
      </c>
      <c r="D41" s="3" t="s">
        <v>26</v>
      </c>
      <c r="E41" s="3" t="s">
        <v>6</v>
      </c>
      <c r="H41" t="s">
        <v>62</v>
      </c>
      <c r="J41">
        <f>1-(6/7*6/7)-(1/7*1/7)</f>
        <v>0.24489795918367355</v>
      </c>
    </row>
    <row r="42" spans="1:10" x14ac:dyDescent="0.25">
      <c r="A42" s="3" t="s">
        <v>4</v>
      </c>
      <c r="B42" s="3" t="s">
        <v>22</v>
      </c>
      <c r="C42" s="3" t="s">
        <v>25</v>
      </c>
      <c r="D42" s="3" t="s">
        <v>26</v>
      </c>
      <c r="E42" s="3" t="s">
        <v>6</v>
      </c>
    </row>
    <row r="43" spans="1:10" ht="18.75" x14ac:dyDescent="0.3">
      <c r="A43" s="3" t="s">
        <v>4</v>
      </c>
      <c r="B43" s="3" t="s">
        <v>22</v>
      </c>
      <c r="C43" s="3" t="s">
        <v>25</v>
      </c>
      <c r="D43" s="3" t="s">
        <v>27</v>
      </c>
      <c r="E43" s="3" t="s">
        <v>5</v>
      </c>
      <c r="H43" s="4"/>
      <c r="I43" s="4"/>
      <c r="J43" s="4"/>
    </row>
    <row r="44" spans="1:10" x14ac:dyDescent="0.25">
      <c r="A44" s="3" t="s">
        <v>3</v>
      </c>
      <c r="B44" s="3" t="s">
        <v>22</v>
      </c>
      <c r="C44" s="3" t="s">
        <v>25</v>
      </c>
      <c r="D44" s="3" t="s">
        <v>27</v>
      </c>
      <c r="E44" s="3" t="s">
        <v>6</v>
      </c>
    </row>
    <row r="45" spans="1:10" x14ac:dyDescent="0.25">
      <c r="A45" s="3" t="s">
        <v>2</v>
      </c>
      <c r="B45" s="3" t="s">
        <v>23</v>
      </c>
      <c r="C45" s="3" t="s">
        <v>24</v>
      </c>
      <c r="D45" s="3" t="s">
        <v>26</v>
      </c>
      <c r="E45" s="3" t="s">
        <v>5</v>
      </c>
      <c r="H45" t="s">
        <v>63</v>
      </c>
    </row>
    <row r="46" spans="1:10" x14ac:dyDescent="0.25">
      <c r="A46" s="3" t="s">
        <v>2</v>
      </c>
      <c r="B46" s="3" t="s">
        <v>22</v>
      </c>
      <c r="C46" s="3" t="s">
        <v>25</v>
      </c>
      <c r="D46" s="3" t="s">
        <v>26</v>
      </c>
      <c r="E46" s="3" t="s">
        <v>6</v>
      </c>
      <c r="H46" s="1"/>
      <c r="I46" s="1"/>
      <c r="J46" s="9">
        <f>(J38*J40)+(J39*J41)</f>
        <v>0.36734693877551028</v>
      </c>
    </row>
    <row r="47" spans="1:10" x14ac:dyDescent="0.25">
      <c r="A47" s="3" t="s">
        <v>4</v>
      </c>
      <c r="B47" s="3" t="s">
        <v>21</v>
      </c>
      <c r="C47" s="3" t="s">
        <v>25</v>
      </c>
      <c r="D47" s="3" t="s">
        <v>26</v>
      </c>
      <c r="E47" s="3" t="s">
        <v>6</v>
      </c>
    </row>
    <row r="48" spans="1:10" x14ac:dyDescent="0.25">
      <c r="A48" s="3" t="s">
        <v>2</v>
      </c>
      <c r="B48" s="3" t="s">
        <v>21</v>
      </c>
      <c r="C48" s="3" t="s">
        <v>25</v>
      </c>
      <c r="D48" s="3" t="s">
        <v>27</v>
      </c>
      <c r="E48" s="3" t="s">
        <v>6</v>
      </c>
    </row>
    <row r="49" spans="1:10" ht="18.75" x14ac:dyDescent="0.3">
      <c r="A49" s="3" t="s">
        <v>3</v>
      </c>
      <c r="B49" s="3" t="s">
        <v>21</v>
      </c>
      <c r="C49" s="3" t="s">
        <v>24</v>
      </c>
      <c r="D49" s="3" t="s">
        <v>27</v>
      </c>
      <c r="E49" s="3" t="s">
        <v>6</v>
      </c>
      <c r="G49" s="12" t="s">
        <v>79</v>
      </c>
      <c r="H49" s="12"/>
      <c r="I49" s="13">
        <f>O10-J46</f>
        <v>9.1836734693877431E-2</v>
      </c>
    </row>
    <row r="50" spans="1:10" x14ac:dyDescent="0.25">
      <c r="A50" s="3" t="s">
        <v>3</v>
      </c>
      <c r="B50" s="3" t="s">
        <v>20</v>
      </c>
      <c r="C50" s="3" t="s">
        <v>25</v>
      </c>
      <c r="D50" s="3" t="s">
        <v>26</v>
      </c>
      <c r="E50" s="3" t="s">
        <v>6</v>
      </c>
    </row>
    <row r="51" spans="1:10" x14ac:dyDescent="0.25">
      <c r="A51" s="3" t="s">
        <v>4</v>
      </c>
      <c r="B51" s="3" t="s">
        <v>21</v>
      </c>
      <c r="C51" s="3" t="s">
        <v>24</v>
      </c>
      <c r="D51" s="3" t="s">
        <v>27</v>
      </c>
      <c r="E51" s="3" t="s">
        <v>5</v>
      </c>
    </row>
    <row r="55" spans="1:10" x14ac:dyDescent="0.25">
      <c r="A55" s="2" t="s">
        <v>0</v>
      </c>
      <c r="B55" s="2" t="s">
        <v>17</v>
      </c>
      <c r="C55" s="2" t="s">
        <v>18</v>
      </c>
      <c r="D55" s="2" t="s">
        <v>19</v>
      </c>
      <c r="E55" s="2" t="s">
        <v>1</v>
      </c>
      <c r="G55" t="s">
        <v>47</v>
      </c>
    </row>
    <row r="56" spans="1:10" x14ac:dyDescent="0.25">
      <c r="A56" s="3" t="s">
        <v>2</v>
      </c>
      <c r="B56" s="3" t="s">
        <v>20</v>
      </c>
      <c r="C56" s="3" t="s">
        <v>24</v>
      </c>
      <c r="D56" s="3" t="s">
        <v>26</v>
      </c>
      <c r="E56" s="3" t="s">
        <v>5</v>
      </c>
      <c r="H56" t="s">
        <v>48</v>
      </c>
      <c r="J56">
        <f>6/14</f>
        <v>0.42857142857142855</v>
      </c>
    </row>
    <row r="57" spans="1:10" x14ac:dyDescent="0.25">
      <c r="A57" s="3" t="s">
        <v>2</v>
      </c>
      <c r="B57" s="3" t="s">
        <v>20</v>
      </c>
      <c r="C57" s="3" t="s">
        <v>24</v>
      </c>
      <c r="D57" s="3" t="s">
        <v>27</v>
      </c>
      <c r="E57" s="3" t="s">
        <v>5</v>
      </c>
      <c r="H57" t="s">
        <v>49</v>
      </c>
      <c r="J57">
        <f>8/14</f>
        <v>0.5714285714285714</v>
      </c>
    </row>
    <row r="58" spans="1:10" x14ac:dyDescent="0.25">
      <c r="A58" s="3" t="s">
        <v>3</v>
      </c>
      <c r="B58" s="3" t="s">
        <v>20</v>
      </c>
      <c r="C58" s="3" t="s">
        <v>24</v>
      </c>
      <c r="D58" s="3" t="s">
        <v>26</v>
      </c>
      <c r="E58" s="3" t="s">
        <v>6</v>
      </c>
      <c r="H58" t="s">
        <v>64</v>
      </c>
      <c r="J58">
        <f>1-(3/6*3/6)-(3/6*3/6)</f>
        <v>0.5</v>
      </c>
    </row>
    <row r="59" spans="1:10" x14ac:dyDescent="0.25">
      <c r="A59" s="3" t="s">
        <v>4</v>
      </c>
      <c r="B59" s="3" t="s">
        <v>21</v>
      </c>
      <c r="C59" s="3" t="s">
        <v>24</v>
      </c>
      <c r="D59" s="3" t="s">
        <v>26</v>
      </c>
      <c r="E59" s="3" t="s">
        <v>6</v>
      </c>
      <c r="H59" t="s">
        <v>65</v>
      </c>
      <c r="J59">
        <f>1-(6/8*6/8)-(2/8*2/8)</f>
        <v>0.375</v>
      </c>
    </row>
    <row r="60" spans="1:10" x14ac:dyDescent="0.25">
      <c r="A60" s="3" t="s">
        <v>4</v>
      </c>
      <c r="B60" s="3" t="s">
        <v>22</v>
      </c>
      <c r="C60" s="3" t="s">
        <v>25</v>
      </c>
      <c r="D60" s="3" t="s">
        <v>26</v>
      </c>
      <c r="E60" s="3" t="s">
        <v>6</v>
      </c>
    </row>
    <row r="61" spans="1:10" ht="18.75" x14ac:dyDescent="0.3">
      <c r="A61" s="3" t="s">
        <v>4</v>
      </c>
      <c r="B61" s="3" t="s">
        <v>22</v>
      </c>
      <c r="C61" s="3" t="s">
        <v>25</v>
      </c>
      <c r="D61" s="3" t="s">
        <v>27</v>
      </c>
      <c r="E61" s="3" t="s">
        <v>5</v>
      </c>
      <c r="H61" s="4"/>
      <c r="I61" s="4"/>
      <c r="J61" s="4"/>
    </row>
    <row r="62" spans="1:10" x14ac:dyDescent="0.25">
      <c r="A62" s="3" t="s">
        <v>3</v>
      </c>
      <c r="B62" s="3" t="s">
        <v>22</v>
      </c>
      <c r="C62" s="3" t="s">
        <v>25</v>
      </c>
      <c r="D62" s="3" t="s">
        <v>27</v>
      </c>
      <c r="E62" s="3" t="s">
        <v>6</v>
      </c>
    </row>
    <row r="63" spans="1:10" x14ac:dyDescent="0.25">
      <c r="A63" s="3" t="s">
        <v>2</v>
      </c>
      <c r="B63" s="3" t="s">
        <v>23</v>
      </c>
      <c r="C63" s="3" t="s">
        <v>24</v>
      </c>
      <c r="D63" s="3" t="s">
        <v>26</v>
      </c>
      <c r="E63" s="3" t="s">
        <v>5</v>
      </c>
    </row>
    <row r="64" spans="1:10" x14ac:dyDescent="0.25">
      <c r="A64" s="3" t="s">
        <v>2</v>
      </c>
      <c r="B64" s="3" t="s">
        <v>22</v>
      </c>
      <c r="C64" s="3" t="s">
        <v>25</v>
      </c>
      <c r="D64" s="3" t="s">
        <v>26</v>
      </c>
      <c r="E64" s="3" t="s">
        <v>6</v>
      </c>
      <c r="H64" t="s">
        <v>66</v>
      </c>
    </row>
    <row r="65" spans="1:14" x14ac:dyDescent="0.25">
      <c r="A65" s="3" t="s">
        <v>4</v>
      </c>
      <c r="B65" s="3" t="s">
        <v>21</v>
      </c>
      <c r="C65" s="3" t="s">
        <v>25</v>
      </c>
      <c r="D65" s="3" t="s">
        <v>26</v>
      </c>
      <c r="E65" s="3" t="s">
        <v>6</v>
      </c>
      <c r="J65" s="9">
        <f>(J56*J58)+(J57*J59)</f>
        <v>0.42857142857142855</v>
      </c>
    </row>
    <row r="66" spans="1:14" x14ac:dyDescent="0.25">
      <c r="A66" s="3" t="s">
        <v>2</v>
      </c>
      <c r="B66" s="3" t="s">
        <v>21</v>
      </c>
      <c r="C66" s="3" t="s">
        <v>25</v>
      </c>
      <c r="D66" s="3" t="s">
        <v>27</v>
      </c>
      <c r="E66" s="3" t="s">
        <v>6</v>
      </c>
    </row>
    <row r="67" spans="1:14" x14ac:dyDescent="0.25">
      <c r="A67" s="3" t="s">
        <v>3</v>
      </c>
      <c r="B67" s="3" t="s">
        <v>21</v>
      </c>
      <c r="C67" s="3" t="s">
        <v>24</v>
      </c>
      <c r="D67" s="3" t="s">
        <v>27</v>
      </c>
      <c r="E67" s="3" t="s">
        <v>6</v>
      </c>
    </row>
    <row r="68" spans="1:14" ht="18.75" x14ac:dyDescent="0.3">
      <c r="A68" s="3" t="s">
        <v>3</v>
      </c>
      <c r="B68" s="3" t="s">
        <v>20</v>
      </c>
      <c r="C68" s="3" t="s">
        <v>25</v>
      </c>
      <c r="D68" s="3" t="s">
        <v>26</v>
      </c>
      <c r="E68" s="3" t="s">
        <v>6</v>
      </c>
      <c r="G68" s="12" t="s">
        <v>80</v>
      </c>
      <c r="H68" s="12"/>
      <c r="I68" s="13">
        <f>O10-J65</f>
        <v>3.0612244897959162E-2</v>
      </c>
    </row>
    <row r="69" spans="1:14" x14ac:dyDescent="0.25">
      <c r="A69" s="3" t="s">
        <v>4</v>
      </c>
      <c r="B69" s="3" t="s">
        <v>21</v>
      </c>
      <c r="C69" s="3" t="s">
        <v>24</v>
      </c>
      <c r="D69" s="3" t="s">
        <v>27</v>
      </c>
      <c r="E69" s="3" t="s">
        <v>5</v>
      </c>
    </row>
    <row r="71" spans="1:14" x14ac:dyDescent="0.25">
      <c r="I71" s="5" t="s">
        <v>67</v>
      </c>
      <c r="J71" s="5"/>
      <c r="K71" s="5"/>
      <c r="L71" s="5"/>
      <c r="M71" s="5"/>
      <c r="N71" s="5"/>
    </row>
    <row r="72" spans="1:14" x14ac:dyDescent="0.25">
      <c r="I72" s="5" t="s">
        <v>76</v>
      </c>
      <c r="J72" s="5"/>
      <c r="K72" s="5"/>
      <c r="L7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E22F-C894-44FA-8C3B-2FE0AB37EDE7}">
  <dimension ref="D1:AB28"/>
  <sheetViews>
    <sheetView zoomScale="130" zoomScaleNormal="130" workbookViewId="0">
      <selection activeCell="K1" sqref="K1:O15"/>
    </sheetView>
  </sheetViews>
  <sheetFormatPr defaultRowHeight="15" x14ac:dyDescent="0.25"/>
  <sheetData>
    <row r="1" spans="4:21" x14ac:dyDescent="0.25">
      <c r="K1" s="2" t="s">
        <v>0</v>
      </c>
      <c r="L1" s="2" t="s">
        <v>17</v>
      </c>
      <c r="M1" s="2" t="s">
        <v>18</v>
      </c>
      <c r="N1" s="2" t="s">
        <v>19</v>
      </c>
      <c r="O1" s="2" t="s">
        <v>1</v>
      </c>
      <c r="Q1" s="24" t="s">
        <v>82</v>
      </c>
    </row>
    <row r="2" spans="4:21" x14ac:dyDescent="0.25">
      <c r="K2" s="3" t="s">
        <v>2</v>
      </c>
      <c r="L2" s="3" t="s">
        <v>20</v>
      </c>
      <c r="M2" s="3" t="s">
        <v>24</v>
      </c>
      <c r="N2" s="3" t="s">
        <v>26</v>
      </c>
      <c r="O2" s="3" t="s">
        <v>5</v>
      </c>
      <c r="Q2" s="2" t="s">
        <v>0</v>
      </c>
      <c r="R2" s="2" t="s">
        <v>17</v>
      </c>
      <c r="S2" s="2" t="s">
        <v>18</v>
      </c>
      <c r="T2" s="2" t="s">
        <v>19</v>
      </c>
      <c r="U2" s="2" t="s">
        <v>1</v>
      </c>
    </row>
    <row r="3" spans="4:21" x14ac:dyDescent="0.25">
      <c r="K3" s="3" t="s">
        <v>2</v>
      </c>
      <c r="L3" s="3" t="s">
        <v>20</v>
      </c>
      <c r="M3" s="3" t="s">
        <v>24</v>
      </c>
      <c r="N3" s="3" t="s">
        <v>27</v>
      </c>
      <c r="O3" s="3" t="s">
        <v>5</v>
      </c>
      <c r="Q3" s="3" t="s">
        <v>2</v>
      </c>
      <c r="R3" s="3" t="s">
        <v>20</v>
      </c>
      <c r="S3" s="3" t="s">
        <v>24</v>
      </c>
      <c r="T3" s="3" t="s">
        <v>83</v>
      </c>
      <c r="U3" s="3" t="s">
        <v>81</v>
      </c>
    </row>
    <row r="4" spans="4:21" x14ac:dyDescent="0.25">
      <c r="K4" s="3" t="s">
        <v>3</v>
      </c>
      <c r="L4" s="3" t="s">
        <v>20</v>
      </c>
      <c r="M4" s="3" t="s">
        <v>24</v>
      </c>
      <c r="N4" s="3" t="s">
        <v>26</v>
      </c>
      <c r="O4" s="3" t="s">
        <v>6</v>
      </c>
    </row>
    <row r="5" spans="4:21" x14ac:dyDescent="0.25">
      <c r="K5" s="3" t="s">
        <v>4</v>
      </c>
      <c r="L5" s="3" t="s">
        <v>21</v>
      </c>
      <c r="M5" s="3" t="s">
        <v>24</v>
      </c>
      <c r="N5" s="3" t="s">
        <v>26</v>
      </c>
      <c r="O5" s="3" t="s">
        <v>6</v>
      </c>
    </row>
    <row r="6" spans="4:21" x14ac:dyDescent="0.25">
      <c r="K6" s="3" t="s">
        <v>4</v>
      </c>
      <c r="L6" s="3" t="s">
        <v>22</v>
      </c>
      <c r="M6" s="3" t="s">
        <v>25</v>
      </c>
      <c r="N6" s="3" t="s">
        <v>26</v>
      </c>
      <c r="O6" s="3" t="s">
        <v>6</v>
      </c>
    </row>
    <row r="7" spans="4:21" x14ac:dyDescent="0.25">
      <c r="K7" s="3" t="s">
        <v>4</v>
      </c>
      <c r="L7" s="3" t="s">
        <v>22</v>
      </c>
      <c r="M7" s="3" t="s">
        <v>25</v>
      </c>
      <c r="N7" s="3" t="s">
        <v>27</v>
      </c>
      <c r="O7" s="3" t="s">
        <v>5</v>
      </c>
    </row>
    <row r="8" spans="4:21" x14ac:dyDescent="0.25">
      <c r="K8" s="3" t="s">
        <v>3</v>
      </c>
      <c r="L8" s="3" t="s">
        <v>22</v>
      </c>
      <c r="M8" s="3" t="s">
        <v>25</v>
      </c>
      <c r="N8" s="3" t="s">
        <v>27</v>
      </c>
      <c r="O8" s="3" t="s">
        <v>6</v>
      </c>
    </row>
    <row r="9" spans="4:21" x14ac:dyDescent="0.25">
      <c r="K9" s="3" t="s">
        <v>2</v>
      </c>
      <c r="L9" s="3" t="s">
        <v>23</v>
      </c>
      <c r="M9" s="3" t="s">
        <v>24</v>
      </c>
      <c r="N9" s="3" t="s">
        <v>26</v>
      </c>
      <c r="O9" s="3" t="s">
        <v>5</v>
      </c>
    </row>
    <row r="10" spans="4:21" x14ac:dyDescent="0.25">
      <c r="K10" s="3" t="s">
        <v>2</v>
      </c>
      <c r="L10" s="3" t="s">
        <v>22</v>
      </c>
      <c r="M10" s="3" t="s">
        <v>25</v>
      </c>
      <c r="N10" s="3" t="s">
        <v>26</v>
      </c>
      <c r="O10" s="3" t="s">
        <v>6</v>
      </c>
    </row>
    <row r="11" spans="4:21" x14ac:dyDescent="0.25">
      <c r="K11" s="3" t="s">
        <v>4</v>
      </c>
      <c r="L11" s="3" t="s">
        <v>21</v>
      </c>
      <c r="M11" s="3" t="s">
        <v>25</v>
      </c>
      <c r="N11" s="3" t="s">
        <v>26</v>
      </c>
      <c r="O11" s="3" t="s">
        <v>6</v>
      </c>
    </row>
    <row r="12" spans="4:21" x14ac:dyDescent="0.25">
      <c r="K12" s="3" t="s">
        <v>2</v>
      </c>
      <c r="L12" s="3" t="s">
        <v>21</v>
      </c>
      <c r="M12" s="3" t="s">
        <v>25</v>
      </c>
      <c r="N12" s="3" t="s">
        <v>27</v>
      </c>
      <c r="O12" s="3" t="s">
        <v>6</v>
      </c>
    </row>
    <row r="13" spans="4:21" x14ac:dyDescent="0.25">
      <c r="K13" s="3" t="s">
        <v>3</v>
      </c>
      <c r="L13" s="3" t="s">
        <v>21</v>
      </c>
      <c r="M13" s="3" t="s">
        <v>24</v>
      </c>
      <c r="N13" s="3" t="s">
        <v>27</v>
      </c>
      <c r="O13" s="3" t="s">
        <v>6</v>
      </c>
    </row>
    <row r="14" spans="4:21" x14ac:dyDescent="0.25">
      <c r="K14" s="3" t="s">
        <v>3</v>
      </c>
      <c r="L14" s="3" t="s">
        <v>20</v>
      </c>
      <c r="M14" s="3" t="s">
        <v>25</v>
      </c>
      <c r="N14" s="3" t="s">
        <v>26</v>
      </c>
      <c r="O14" s="3" t="s">
        <v>6</v>
      </c>
    </row>
    <row r="15" spans="4:21" x14ac:dyDescent="0.25">
      <c r="K15" s="3" t="s">
        <v>4</v>
      </c>
      <c r="L15" s="3" t="s">
        <v>21</v>
      </c>
      <c r="M15" s="3" t="s">
        <v>24</v>
      </c>
      <c r="N15" s="3" t="s">
        <v>27</v>
      </c>
      <c r="O15" s="3" t="s">
        <v>5</v>
      </c>
    </row>
    <row r="16" spans="4:21" x14ac:dyDescent="0.25">
      <c r="D16" t="s">
        <v>89</v>
      </c>
      <c r="J16" t="s">
        <v>90</v>
      </c>
      <c r="P16" t="s">
        <v>91</v>
      </c>
    </row>
    <row r="17" spans="4:28" x14ac:dyDescent="0.25">
      <c r="D17" s="19" t="s">
        <v>0</v>
      </c>
      <c r="E17" s="2" t="s">
        <v>17</v>
      </c>
      <c r="F17" s="2" t="s">
        <v>18</v>
      </c>
      <c r="G17" s="2" t="s">
        <v>19</v>
      </c>
      <c r="H17" s="2" t="s">
        <v>1</v>
      </c>
      <c r="J17" s="19" t="s">
        <v>0</v>
      </c>
      <c r="K17" s="2" t="s">
        <v>17</v>
      </c>
      <c r="L17" s="2" t="s">
        <v>18</v>
      </c>
      <c r="M17" s="2" t="s">
        <v>19</v>
      </c>
      <c r="N17" s="2" t="s">
        <v>1</v>
      </c>
      <c r="P17" s="19" t="s">
        <v>0</v>
      </c>
      <c r="Q17" s="2" t="s">
        <v>17</v>
      </c>
      <c r="R17" s="2" t="s">
        <v>18</v>
      </c>
      <c r="S17" s="2" t="s">
        <v>19</v>
      </c>
      <c r="T17" s="2" t="s">
        <v>1</v>
      </c>
    </row>
    <row r="18" spans="4:28" x14ac:dyDescent="0.25">
      <c r="D18" s="3" t="s">
        <v>3</v>
      </c>
      <c r="E18" s="3" t="s">
        <v>20</v>
      </c>
      <c r="F18" s="3" t="s">
        <v>24</v>
      </c>
      <c r="G18" s="3" t="s">
        <v>26</v>
      </c>
      <c r="H18" s="3" t="s">
        <v>6</v>
      </c>
      <c r="J18" s="3" t="s">
        <v>4</v>
      </c>
      <c r="K18" s="3" t="s">
        <v>21</v>
      </c>
      <c r="L18" s="3" t="s">
        <v>24</v>
      </c>
      <c r="M18" s="3" t="s">
        <v>26</v>
      </c>
      <c r="N18" s="3" t="s">
        <v>6</v>
      </c>
      <c r="P18" s="3" t="s">
        <v>2</v>
      </c>
      <c r="Q18" s="3" t="s">
        <v>20</v>
      </c>
      <c r="R18" s="3" t="s">
        <v>24</v>
      </c>
      <c r="S18" s="3" t="s">
        <v>26</v>
      </c>
      <c r="T18" s="3" t="s">
        <v>5</v>
      </c>
    </row>
    <row r="19" spans="4:28" x14ac:dyDescent="0.25">
      <c r="D19" s="3" t="s">
        <v>3</v>
      </c>
      <c r="E19" s="3" t="s">
        <v>22</v>
      </c>
      <c r="F19" s="3" t="s">
        <v>25</v>
      </c>
      <c r="G19" s="3" t="s">
        <v>27</v>
      </c>
      <c r="H19" s="3" t="s">
        <v>6</v>
      </c>
      <c r="J19" s="3" t="s">
        <v>4</v>
      </c>
      <c r="K19" s="3" t="s">
        <v>22</v>
      </c>
      <c r="L19" s="3" t="s">
        <v>25</v>
      </c>
      <c r="M19" s="3" t="s">
        <v>26</v>
      </c>
      <c r="N19" s="3" t="s">
        <v>6</v>
      </c>
      <c r="P19" s="3" t="s">
        <v>2</v>
      </c>
      <c r="Q19" s="3" t="s">
        <v>20</v>
      </c>
      <c r="R19" s="3" t="s">
        <v>24</v>
      </c>
      <c r="S19" s="3" t="s">
        <v>27</v>
      </c>
      <c r="T19" s="3" t="s">
        <v>5</v>
      </c>
    </row>
    <row r="20" spans="4:28" x14ac:dyDescent="0.25">
      <c r="D20" s="3" t="s">
        <v>3</v>
      </c>
      <c r="E20" s="3" t="s">
        <v>21</v>
      </c>
      <c r="F20" s="3" t="s">
        <v>24</v>
      </c>
      <c r="G20" s="3" t="s">
        <v>27</v>
      </c>
      <c r="H20" s="3" t="s">
        <v>6</v>
      </c>
      <c r="J20" s="3" t="s">
        <v>4</v>
      </c>
      <c r="K20" s="3" t="s">
        <v>22</v>
      </c>
      <c r="L20" s="3" t="s">
        <v>25</v>
      </c>
      <c r="M20" s="3" t="s">
        <v>27</v>
      </c>
      <c r="N20" s="3" t="s">
        <v>5</v>
      </c>
      <c r="P20" s="3" t="s">
        <v>2</v>
      </c>
      <c r="Q20" s="3" t="s">
        <v>23</v>
      </c>
      <c r="R20" s="3" t="s">
        <v>24</v>
      </c>
      <c r="S20" s="3" t="s">
        <v>26</v>
      </c>
      <c r="T20" s="3" t="s">
        <v>5</v>
      </c>
    </row>
    <row r="21" spans="4:28" x14ac:dyDescent="0.25">
      <c r="D21" s="3" t="s">
        <v>3</v>
      </c>
      <c r="E21" s="3" t="s">
        <v>20</v>
      </c>
      <c r="F21" s="3" t="s">
        <v>25</v>
      </c>
      <c r="G21" s="3" t="s">
        <v>26</v>
      </c>
      <c r="H21" s="3" t="s">
        <v>6</v>
      </c>
      <c r="J21" s="3" t="s">
        <v>4</v>
      </c>
      <c r="K21" s="3" t="s">
        <v>21</v>
      </c>
      <c r="L21" s="3" t="s">
        <v>25</v>
      </c>
      <c r="M21" s="3" t="s">
        <v>26</v>
      </c>
      <c r="N21" s="3" t="s">
        <v>6</v>
      </c>
      <c r="P21" s="3" t="s">
        <v>2</v>
      </c>
      <c r="Q21" s="3" t="s">
        <v>22</v>
      </c>
      <c r="R21" s="3" t="s">
        <v>25</v>
      </c>
      <c r="S21" s="3" t="s">
        <v>26</v>
      </c>
      <c r="T21" s="3" t="s">
        <v>6</v>
      </c>
      <c r="U21" s="26"/>
      <c r="V21" s="26"/>
      <c r="W21" s="26"/>
      <c r="X21" s="26"/>
      <c r="Y21" s="26"/>
    </row>
    <row r="22" spans="4:28" x14ac:dyDescent="0.25">
      <c r="E22" s="27" t="s">
        <v>74</v>
      </c>
      <c r="J22" s="3" t="s">
        <v>4</v>
      </c>
      <c r="K22" s="3" t="s">
        <v>21</v>
      </c>
      <c r="L22" s="3" t="s">
        <v>24</v>
      </c>
      <c r="M22" s="3" t="s">
        <v>27</v>
      </c>
      <c r="N22" s="3" t="s">
        <v>5</v>
      </c>
      <c r="P22" s="3" t="s">
        <v>2</v>
      </c>
      <c r="Q22" s="3" t="s">
        <v>21</v>
      </c>
      <c r="R22" s="3" t="s">
        <v>25</v>
      </c>
      <c r="S22" s="3" t="s">
        <v>27</v>
      </c>
      <c r="T22" s="3" t="s">
        <v>6</v>
      </c>
      <c r="Y22" s="26"/>
    </row>
    <row r="23" spans="4:28" x14ac:dyDescent="0.25">
      <c r="J23" s="26"/>
      <c r="N23" s="26"/>
      <c r="R23" s="26"/>
      <c r="Y23" s="26"/>
    </row>
    <row r="24" spans="4:28" x14ac:dyDescent="0.25">
      <c r="F24" s="2" t="s">
        <v>0</v>
      </c>
      <c r="G24" s="2" t="s">
        <v>17</v>
      </c>
      <c r="H24" s="28" t="s">
        <v>18</v>
      </c>
      <c r="I24" s="19" t="s">
        <v>19</v>
      </c>
      <c r="J24" s="2" t="s">
        <v>1</v>
      </c>
      <c r="L24" s="2" t="s">
        <v>0</v>
      </c>
      <c r="M24" s="2" t="s">
        <v>17</v>
      </c>
      <c r="N24" s="28" t="s">
        <v>18</v>
      </c>
      <c r="O24" s="19" t="s">
        <v>19</v>
      </c>
      <c r="P24" s="2" t="s">
        <v>1</v>
      </c>
      <c r="R24" s="19" t="s">
        <v>0</v>
      </c>
      <c r="S24" s="2" t="s">
        <v>17</v>
      </c>
      <c r="T24" s="19" t="s">
        <v>18</v>
      </c>
      <c r="U24" s="2" t="s">
        <v>19</v>
      </c>
      <c r="V24" s="2" t="s">
        <v>1</v>
      </c>
      <c r="X24" s="19" t="s">
        <v>0</v>
      </c>
      <c r="Y24" s="2" t="s">
        <v>17</v>
      </c>
      <c r="Z24" s="19" t="s">
        <v>18</v>
      </c>
      <c r="AA24" s="2" t="s">
        <v>19</v>
      </c>
      <c r="AB24" s="2" t="s">
        <v>1</v>
      </c>
    </row>
    <row r="25" spans="4:28" x14ac:dyDescent="0.25">
      <c r="F25" s="3" t="s">
        <v>4</v>
      </c>
      <c r="G25" s="3" t="s">
        <v>21</v>
      </c>
      <c r="H25" s="3" t="s">
        <v>24</v>
      </c>
      <c r="I25" s="3" t="s">
        <v>26</v>
      </c>
      <c r="J25" s="3" t="s">
        <v>6</v>
      </c>
      <c r="L25" s="3" t="s">
        <v>4</v>
      </c>
      <c r="M25" s="3" t="s">
        <v>22</v>
      </c>
      <c r="N25" s="3" t="s">
        <v>25</v>
      </c>
      <c r="O25" s="3" t="s">
        <v>27</v>
      </c>
      <c r="P25" s="3" t="s">
        <v>5</v>
      </c>
      <c r="R25" s="3" t="s">
        <v>2</v>
      </c>
      <c r="S25" s="3" t="s">
        <v>20</v>
      </c>
      <c r="T25" s="3" t="s">
        <v>24</v>
      </c>
      <c r="U25" s="3" t="s">
        <v>26</v>
      </c>
      <c r="V25" s="3" t="s">
        <v>5</v>
      </c>
      <c r="X25" s="3" t="s">
        <v>2</v>
      </c>
      <c r="Y25" s="3" t="s">
        <v>22</v>
      </c>
      <c r="Z25" s="3" t="s">
        <v>25</v>
      </c>
      <c r="AA25" s="3" t="s">
        <v>26</v>
      </c>
      <c r="AB25" s="3" t="s">
        <v>6</v>
      </c>
    </row>
    <row r="26" spans="4:28" x14ac:dyDescent="0.25">
      <c r="F26" s="3" t="s">
        <v>4</v>
      </c>
      <c r="G26" s="3" t="s">
        <v>22</v>
      </c>
      <c r="H26" s="3" t="s">
        <v>25</v>
      </c>
      <c r="I26" s="3" t="s">
        <v>26</v>
      </c>
      <c r="J26" s="3" t="s">
        <v>6</v>
      </c>
      <c r="L26" s="3" t="s">
        <v>4</v>
      </c>
      <c r="M26" s="3" t="s">
        <v>21</v>
      </c>
      <c r="N26" s="3" t="s">
        <v>24</v>
      </c>
      <c r="O26" s="3" t="s">
        <v>27</v>
      </c>
      <c r="P26" s="3" t="s">
        <v>5</v>
      </c>
      <c r="R26" s="3" t="s">
        <v>2</v>
      </c>
      <c r="S26" s="3" t="s">
        <v>20</v>
      </c>
      <c r="T26" s="3" t="s">
        <v>24</v>
      </c>
      <c r="U26" s="3" t="s">
        <v>27</v>
      </c>
      <c r="V26" s="3" t="s">
        <v>5</v>
      </c>
      <c r="X26" s="3" t="s">
        <v>2</v>
      </c>
      <c r="Y26" s="3" t="s">
        <v>21</v>
      </c>
      <c r="Z26" s="3" t="s">
        <v>25</v>
      </c>
      <c r="AA26" s="3" t="s">
        <v>27</v>
      </c>
      <c r="AB26" s="3" t="s">
        <v>6</v>
      </c>
    </row>
    <row r="27" spans="4:28" x14ac:dyDescent="0.25">
      <c r="F27" s="3" t="s">
        <v>4</v>
      </c>
      <c r="G27" s="3" t="s">
        <v>21</v>
      </c>
      <c r="H27" s="3" t="s">
        <v>25</v>
      </c>
      <c r="I27" s="3" t="s">
        <v>26</v>
      </c>
      <c r="J27" s="3" t="s">
        <v>6</v>
      </c>
      <c r="M27" s="27" t="s">
        <v>74</v>
      </c>
      <c r="R27" s="3" t="s">
        <v>2</v>
      </c>
      <c r="S27" s="3" t="s">
        <v>23</v>
      </c>
      <c r="T27" s="3" t="s">
        <v>24</v>
      </c>
      <c r="U27" s="3" t="s">
        <v>26</v>
      </c>
      <c r="V27" s="3" t="s">
        <v>5</v>
      </c>
      <c r="Y27" s="27" t="s">
        <v>74</v>
      </c>
    </row>
    <row r="28" spans="4:28" x14ac:dyDescent="0.25">
      <c r="G28" s="27" t="s">
        <v>74</v>
      </c>
      <c r="S28" s="27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34A6-23C4-4BE4-BA24-CF03388FE28A}">
  <dimension ref="A1:L77"/>
  <sheetViews>
    <sheetView workbookViewId="0">
      <selection activeCell="O11" sqref="O11"/>
    </sheetView>
  </sheetViews>
  <sheetFormatPr defaultRowHeight="15" x14ac:dyDescent="0.25"/>
  <cols>
    <col min="7" max="7" width="12.140625" bestFit="1" customWidth="1"/>
    <col min="10" max="10" width="9.5703125" bestFit="1" customWidth="1"/>
  </cols>
  <sheetData>
    <row r="1" spans="1:12" x14ac:dyDescent="0.25">
      <c r="A1" s="2" t="s">
        <v>0</v>
      </c>
      <c r="B1" s="2" t="s">
        <v>17</v>
      </c>
      <c r="C1" s="2" t="s">
        <v>18</v>
      </c>
      <c r="D1" s="2" t="s">
        <v>19</v>
      </c>
      <c r="E1" s="2" t="s">
        <v>1</v>
      </c>
      <c r="G1" s="6" t="s">
        <v>34</v>
      </c>
      <c r="H1" t="s">
        <v>2</v>
      </c>
      <c r="I1" t="s">
        <v>6</v>
      </c>
    </row>
    <row r="2" spans="1:12" x14ac:dyDescent="0.25">
      <c r="A2" s="3" t="s">
        <v>2</v>
      </c>
      <c r="B2" s="3" t="s">
        <v>20</v>
      </c>
      <c r="C2" s="3" t="s">
        <v>24</v>
      </c>
      <c r="D2" s="3" t="s">
        <v>26</v>
      </c>
      <c r="E2" s="3" t="s">
        <v>5</v>
      </c>
      <c r="H2" t="s">
        <v>2</v>
      </c>
      <c r="I2" t="s">
        <v>5</v>
      </c>
      <c r="L2" t="s">
        <v>2</v>
      </c>
    </row>
    <row r="3" spans="1:12" x14ac:dyDescent="0.25">
      <c r="A3" s="3" t="s">
        <v>2</v>
      </c>
      <c r="B3" s="3" t="s">
        <v>20</v>
      </c>
      <c r="C3" s="3" t="s">
        <v>24</v>
      </c>
      <c r="D3" s="3" t="s">
        <v>27</v>
      </c>
      <c r="E3" s="3" t="s">
        <v>5</v>
      </c>
      <c r="H3" t="s">
        <v>3</v>
      </c>
      <c r="I3" t="s">
        <v>6</v>
      </c>
      <c r="L3" t="s">
        <v>3</v>
      </c>
    </row>
    <row r="4" spans="1:12" x14ac:dyDescent="0.25">
      <c r="A4" s="3" t="s">
        <v>3</v>
      </c>
      <c r="B4" s="3" t="s">
        <v>20</v>
      </c>
      <c r="C4" s="3" t="s">
        <v>24</v>
      </c>
      <c r="D4" s="3" t="s">
        <v>26</v>
      </c>
      <c r="E4" s="3" t="s">
        <v>6</v>
      </c>
      <c r="H4" t="s">
        <v>3</v>
      </c>
      <c r="I4" t="s">
        <v>5</v>
      </c>
      <c r="L4" t="s">
        <v>4</v>
      </c>
    </row>
    <row r="5" spans="1:12" x14ac:dyDescent="0.25">
      <c r="A5" s="3" t="s">
        <v>4</v>
      </c>
      <c r="B5" s="3" t="s">
        <v>21</v>
      </c>
      <c r="C5" s="3" t="s">
        <v>24</v>
      </c>
      <c r="D5" s="3" t="s">
        <v>26</v>
      </c>
      <c r="E5" s="3" t="s">
        <v>6</v>
      </c>
      <c r="H5" t="s">
        <v>4</v>
      </c>
      <c r="I5" t="s">
        <v>6</v>
      </c>
    </row>
    <row r="6" spans="1:12" x14ac:dyDescent="0.25">
      <c r="A6" s="3" t="s">
        <v>4</v>
      </c>
      <c r="B6" s="3" t="s">
        <v>22</v>
      </c>
      <c r="C6" s="3" t="s">
        <v>25</v>
      </c>
      <c r="D6" s="3" t="s">
        <v>26</v>
      </c>
      <c r="E6" s="3" t="s">
        <v>6</v>
      </c>
      <c r="H6" t="s">
        <v>4</v>
      </c>
      <c r="I6" t="s">
        <v>5</v>
      </c>
      <c r="L6" t="s">
        <v>6</v>
      </c>
    </row>
    <row r="7" spans="1:12" x14ac:dyDescent="0.25">
      <c r="A7" s="3" t="s">
        <v>4</v>
      </c>
      <c r="B7" s="3" t="s">
        <v>22</v>
      </c>
      <c r="C7" s="3" t="s">
        <v>25</v>
      </c>
      <c r="D7" s="3" t="s">
        <v>27</v>
      </c>
      <c r="E7" s="3" t="s">
        <v>5</v>
      </c>
      <c r="L7" t="s">
        <v>5</v>
      </c>
    </row>
    <row r="8" spans="1:12" x14ac:dyDescent="0.25">
      <c r="A8" s="3" t="s">
        <v>3</v>
      </c>
      <c r="B8" s="3" t="s">
        <v>22</v>
      </c>
      <c r="C8" s="3" t="s">
        <v>25</v>
      </c>
      <c r="D8" s="3" t="s">
        <v>27</v>
      </c>
      <c r="E8" s="3" t="s">
        <v>6</v>
      </c>
    </row>
    <row r="9" spans="1:12" x14ac:dyDescent="0.25">
      <c r="A9" s="3" t="s">
        <v>2</v>
      </c>
      <c r="B9" s="3" t="s">
        <v>23</v>
      </c>
      <c r="C9" s="3" t="s">
        <v>24</v>
      </c>
      <c r="D9" s="3" t="s">
        <v>26</v>
      </c>
      <c r="E9" s="3" t="s">
        <v>5</v>
      </c>
      <c r="H9" t="s">
        <v>8</v>
      </c>
    </row>
    <row r="10" spans="1:12" x14ac:dyDescent="0.25">
      <c r="A10" s="3" t="s">
        <v>2</v>
      </c>
      <c r="B10" s="3" t="s">
        <v>22</v>
      </c>
      <c r="C10" s="3" t="s">
        <v>25</v>
      </c>
      <c r="D10" s="3" t="s">
        <v>26</v>
      </c>
      <c r="E10" s="3" t="s">
        <v>6</v>
      </c>
      <c r="H10" t="s">
        <v>9</v>
      </c>
    </row>
    <row r="11" spans="1:12" x14ac:dyDescent="0.25">
      <c r="A11" s="3" t="s">
        <v>4</v>
      </c>
      <c r="B11" s="3" t="s">
        <v>21</v>
      </c>
      <c r="C11" s="3" t="s">
        <v>25</v>
      </c>
      <c r="D11" s="3" t="s">
        <v>26</v>
      </c>
      <c r="E11" s="3" t="s">
        <v>6</v>
      </c>
      <c r="H11" t="s">
        <v>10</v>
      </c>
    </row>
    <row r="12" spans="1:12" x14ac:dyDescent="0.25">
      <c r="A12" s="3" t="s">
        <v>2</v>
      </c>
      <c r="B12" s="3" t="s">
        <v>21</v>
      </c>
      <c r="C12" s="3" t="s">
        <v>25</v>
      </c>
      <c r="D12" s="3" t="s">
        <v>27</v>
      </c>
      <c r="E12" s="3" t="s">
        <v>6</v>
      </c>
      <c r="H12" t="s">
        <v>14</v>
      </c>
    </row>
    <row r="13" spans="1:12" x14ac:dyDescent="0.25">
      <c r="A13" s="3" t="s">
        <v>3</v>
      </c>
      <c r="B13" s="3" t="s">
        <v>21</v>
      </c>
      <c r="C13" s="3" t="s">
        <v>24</v>
      </c>
      <c r="D13" s="3" t="s">
        <v>27</v>
      </c>
      <c r="E13" s="3" t="s">
        <v>6</v>
      </c>
      <c r="H13" t="s">
        <v>15</v>
      </c>
    </row>
    <row r="14" spans="1:12" x14ac:dyDescent="0.25">
      <c r="A14" s="3" t="s">
        <v>3</v>
      </c>
      <c r="B14" s="3" t="s">
        <v>20</v>
      </c>
      <c r="C14" s="3" t="s">
        <v>25</v>
      </c>
      <c r="D14" s="3" t="s">
        <v>26</v>
      </c>
      <c r="E14" s="3" t="s">
        <v>6</v>
      </c>
      <c r="H14" t="s">
        <v>16</v>
      </c>
    </row>
    <row r="15" spans="1:12" x14ac:dyDescent="0.25">
      <c r="A15" s="3" t="s">
        <v>4</v>
      </c>
      <c r="B15" s="3" t="s">
        <v>21</v>
      </c>
      <c r="C15" s="3" t="s">
        <v>24</v>
      </c>
      <c r="D15" s="3" t="s">
        <v>27</v>
      </c>
      <c r="E15" s="3" t="s">
        <v>5</v>
      </c>
    </row>
    <row r="16" spans="1:12" x14ac:dyDescent="0.25">
      <c r="H16" t="s">
        <v>7</v>
      </c>
    </row>
    <row r="17" spans="1:11" x14ac:dyDescent="0.25">
      <c r="J17" s="5"/>
    </row>
    <row r="19" spans="1:11" ht="18.75" x14ac:dyDescent="0.3">
      <c r="H19" s="4" t="s">
        <v>11</v>
      </c>
      <c r="I19" s="4"/>
      <c r="J19" s="4">
        <f>-((9/14)*LOG(9/14,2)) -((5/14) * LOG(5/14,2))</f>
        <v>0.94028595867063092</v>
      </c>
    </row>
    <row r="21" spans="1:11" x14ac:dyDescent="0.25">
      <c r="H21" t="s">
        <v>12</v>
      </c>
      <c r="J21" t="s">
        <v>13</v>
      </c>
    </row>
    <row r="23" spans="1:11" x14ac:dyDescent="0.25">
      <c r="F23" s="1" t="s">
        <v>36</v>
      </c>
      <c r="G23" s="1"/>
      <c r="H23" s="1"/>
      <c r="J23" t="s">
        <v>37</v>
      </c>
    </row>
    <row r="24" spans="1:11" x14ac:dyDescent="0.25">
      <c r="J24" s="1">
        <f>J19-J9*J12-J10*J13-J11*J14</f>
        <v>0.94028595867063092</v>
      </c>
    </row>
    <row r="26" spans="1:11" x14ac:dyDescent="0.25">
      <c r="A26" s="2" t="s">
        <v>0</v>
      </c>
      <c r="B26" s="2" t="s">
        <v>17</v>
      </c>
      <c r="C26" s="2" t="s">
        <v>18</v>
      </c>
      <c r="D26" s="2" t="s">
        <v>19</v>
      </c>
      <c r="E26" s="2" t="s">
        <v>1</v>
      </c>
      <c r="G26" s="7" t="s">
        <v>35</v>
      </c>
      <c r="H26" t="s">
        <v>28</v>
      </c>
      <c r="J26">
        <f>4/14</f>
        <v>0.2857142857142857</v>
      </c>
    </row>
    <row r="27" spans="1:11" x14ac:dyDescent="0.25">
      <c r="A27" s="3" t="s">
        <v>2</v>
      </c>
      <c r="B27" s="3" t="s">
        <v>20</v>
      </c>
      <c r="C27" s="3" t="s">
        <v>24</v>
      </c>
      <c r="D27" s="3" t="s">
        <v>26</v>
      </c>
      <c r="E27" s="3" t="s">
        <v>5</v>
      </c>
      <c r="H27" t="s">
        <v>29</v>
      </c>
      <c r="J27">
        <f>6/14</f>
        <v>0.42857142857142855</v>
      </c>
    </row>
    <row r="28" spans="1:11" x14ac:dyDescent="0.25">
      <c r="A28" s="3" t="s">
        <v>2</v>
      </c>
      <c r="B28" s="3" t="s">
        <v>20</v>
      </c>
      <c r="C28" s="3" t="s">
        <v>24</v>
      </c>
      <c r="D28" s="3" t="s">
        <v>27</v>
      </c>
      <c r="E28" s="3" t="s">
        <v>5</v>
      </c>
      <c r="H28" t="s">
        <v>30</v>
      </c>
      <c r="J28">
        <f>4/14</f>
        <v>0.2857142857142857</v>
      </c>
    </row>
    <row r="29" spans="1:11" x14ac:dyDescent="0.25">
      <c r="A29" s="3" t="s">
        <v>3</v>
      </c>
      <c r="B29" s="3" t="s">
        <v>20</v>
      </c>
      <c r="C29" s="3" t="s">
        <v>24</v>
      </c>
      <c r="D29" s="3" t="s">
        <v>26</v>
      </c>
      <c r="E29" s="3" t="s">
        <v>6</v>
      </c>
      <c r="H29" t="s">
        <v>31</v>
      </c>
      <c r="J29">
        <f>-(2/4)*LOG(2/4,2)-(2/4)*LOG(2/4,2)</f>
        <v>1</v>
      </c>
      <c r="K29" t="s">
        <v>38</v>
      </c>
    </row>
    <row r="30" spans="1:11" x14ac:dyDescent="0.25">
      <c r="A30" s="3" t="s">
        <v>4</v>
      </c>
      <c r="B30" s="3" t="s">
        <v>21</v>
      </c>
      <c r="C30" s="3" t="s">
        <v>24</v>
      </c>
      <c r="D30" s="3" t="s">
        <v>26</v>
      </c>
      <c r="E30" s="3" t="s">
        <v>6</v>
      </c>
      <c r="H30" t="s">
        <v>32</v>
      </c>
      <c r="J30">
        <f>-(4/6)*LOG(4/6,2) - (2/6)*LOG(2/6,2)</f>
        <v>0.91829583405448956</v>
      </c>
    </row>
    <row r="31" spans="1:11" x14ac:dyDescent="0.25">
      <c r="A31" s="3" t="s">
        <v>4</v>
      </c>
      <c r="B31" s="3" t="s">
        <v>22</v>
      </c>
      <c r="C31" s="3" t="s">
        <v>25</v>
      </c>
      <c r="D31" s="3" t="s">
        <v>26</v>
      </c>
      <c r="E31" s="3" t="s">
        <v>6</v>
      </c>
      <c r="H31" t="s">
        <v>33</v>
      </c>
      <c r="J31">
        <f>-(3/4)*LOG(3/4,2) -(1/4)*LOG(1/4,2)</f>
        <v>0.81127812445913283</v>
      </c>
    </row>
    <row r="32" spans="1:11" x14ac:dyDescent="0.25">
      <c r="A32" s="3" t="s">
        <v>4</v>
      </c>
      <c r="B32" s="3" t="s">
        <v>22</v>
      </c>
      <c r="C32" s="3" t="s">
        <v>25</v>
      </c>
      <c r="D32" s="3" t="s">
        <v>27</v>
      </c>
      <c r="E32" s="3" t="s">
        <v>5</v>
      </c>
    </row>
    <row r="33" spans="1:12" ht="18.75" x14ac:dyDescent="0.3">
      <c r="A33" s="3" t="s">
        <v>3</v>
      </c>
      <c r="B33" s="3" t="s">
        <v>22</v>
      </c>
      <c r="C33" s="3" t="s">
        <v>25</v>
      </c>
      <c r="D33" s="3" t="s">
        <v>27</v>
      </c>
      <c r="E33" s="3" t="s">
        <v>6</v>
      </c>
      <c r="H33" s="4" t="s">
        <v>11</v>
      </c>
      <c r="I33" s="4"/>
      <c r="J33" s="4">
        <f>-((9/14)*LOG(9/14,2)) -((5/14) * LOG(5/14,2))</f>
        <v>0.94028595867063092</v>
      </c>
    </row>
    <row r="34" spans="1:12" x14ac:dyDescent="0.25">
      <c r="A34" s="3" t="s">
        <v>2</v>
      </c>
      <c r="B34" s="3" t="s">
        <v>23</v>
      </c>
      <c r="C34" s="3" t="s">
        <v>24</v>
      </c>
      <c r="D34" s="3" t="s">
        <v>26</v>
      </c>
      <c r="E34" s="3" t="s">
        <v>5</v>
      </c>
    </row>
    <row r="35" spans="1:12" x14ac:dyDescent="0.25">
      <c r="A35" s="3" t="s">
        <v>2</v>
      </c>
      <c r="B35" s="3" t="s">
        <v>22</v>
      </c>
      <c r="C35" s="3" t="s">
        <v>25</v>
      </c>
      <c r="D35" s="3" t="s">
        <v>26</v>
      </c>
      <c r="E35" s="3" t="s">
        <v>6</v>
      </c>
      <c r="H35" s="1" t="s">
        <v>36</v>
      </c>
      <c r="I35" s="1"/>
      <c r="J35" s="1"/>
      <c r="L35" t="s">
        <v>39</v>
      </c>
    </row>
    <row r="36" spans="1:12" x14ac:dyDescent="0.25">
      <c r="A36" s="3" t="s">
        <v>4</v>
      </c>
      <c r="B36" s="3" t="s">
        <v>21</v>
      </c>
      <c r="C36" s="3" t="s">
        <v>25</v>
      </c>
      <c r="D36" s="3" t="s">
        <v>26</v>
      </c>
      <c r="E36" s="3" t="s">
        <v>6</v>
      </c>
      <c r="J36" s="8">
        <f>J33-J26*J29-J27*J30-J28*J31</f>
        <v>2.9222565658954647E-2</v>
      </c>
    </row>
    <row r="37" spans="1:12" x14ac:dyDescent="0.25">
      <c r="A37" s="3" t="s">
        <v>2</v>
      </c>
      <c r="B37" s="3" t="s">
        <v>21</v>
      </c>
      <c r="C37" s="3" t="s">
        <v>25</v>
      </c>
      <c r="D37" s="3" t="s">
        <v>27</v>
      </c>
      <c r="E37" s="3" t="s">
        <v>6</v>
      </c>
    </row>
    <row r="38" spans="1:12" x14ac:dyDescent="0.25">
      <c r="A38" s="3" t="s">
        <v>3</v>
      </c>
      <c r="B38" s="3" t="s">
        <v>21</v>
      </c>
      <c r="C38" s="3" t="s">
        <v>24</v>
      </c>
      <c r="D38" s="3" t="s">
        <v>27</v>
      </c>
      <c r="E38" s="3" t="s">
        <v>6</v>
      </c>
    </row>
    <row r="39" spans="1:12" x14ac:dyDescent="0.25">
      <c r="A39" s="3" t="s">
        <v>3</v>
      </c>
      <c r="B39" s="3" t="s">
        <v>20</v>
      </c>
      <c r="C39" s="3" t="s">
        <v>25</v>
      </c>
      <c r="D39" s="3" t="s">
        <v>26</v>
      </c>
      <c r="E39" s="3" t="s">
        <v>6</v>
      </c>
    </row>
    <row r="40" spans="1:12" x14ac:dyDescent="0.25">
      <c r="A40" s="3" t="s">
        <v>4</v>
      </c>
      <c r="B40" s="3" t="s">
        <v>21</v>
      </c>
      <c r="C40" s="3" t="s">
        <v>24</v>
      </c>
      <c r="D40" s="3" t="s">
        <v>27</v>
      </c>
      <c r="E40" s="3" t="s">
        <v>5</v>
      </c>
    </row>
    <row r="43" spans="1:12" x14ac:dyDescent="0.25">
      <c r="A43" s="2" t="s">
        <v>0</v>
      </c>
      <c r="B43" s="2" t="s">
        <v>17</v>
      </c>
      <c r="C43" s="2" t="s">
        <v>18</v>
      </c>
      <c r="D43" s="2" t="s">
        <v>19</v>
      </c>
      <c r="E43" s="2" t="s">
        <v>1</v>
      </c>
      <c r="G43" t="s">
        <v>40</v>
      </c>
    </row>
    <row r="44" spans="1:12" x14ac:dyDescent="0.25">
      <c r="A44" s="3" t="s">
        <v>2</v>
      </c>
      <c r="B44" s="3" t="s">
        <v>20</v>
      </c>
      <c r="C44" s="3" t="s">
        <v>24</v>
      </c>
      <c r="D44" s="3" t="s">
        <v>26</v>
      </c>
      <c r="E44" s="3" t="s">
        <v>5</v>
      </c>
      <c r="H44" t="s">
        <v>42</v>
      </c>
      <c r="J44">
        <f>7/14</f>
        <v>0.5</v>
      </c>
    </row>
    <row r="45" spans="1:12" x14ac:dyDescent="0.25">
      <c r="A45" s="3" t="s">
        <v>2</v>
      </c>
      <c r="B45" s="3" t="s">
        <v>20</v>
      </c>
      <c r="C45" s="3" t="s">
        <v>24</v>
      </c>
      <c r="D45" s="3" t="s">
        <v>27</v>
      </c>
      <c r="E45" s="3" t="s">
        <v>5</v>
      </c>
      <c r="H45" t="s">
        <v>43</v>
      </c>
      <c r="J45">
        <f>7/14</f>
        <v>0.5</v>
      </c>
    </row>
    <row r="46" spans="1:12" x14ac:dyDescent="0.25">
      <c r="A46" s="3" t="s">
        <v>3</v>
      </c>
      <c r="B46" s="3" t="s">
        <v>20</v>
      </c>
      <c r="C46" s="3" t="s">
        <v>24</v>
      </c>
      <c r="D46" s="3" t="s">
        <v>26</v>
      </c>
      <c r="E46" s="3" t="s">
        <v>6</v>
      </c>
      <c r="H46" t="s">
        <v>44</v>
      </c>
      <c r="J46">
        <f>-(3/7)*LOG(3/7,2)-(4/7)*LOG(4/7,2)</f>
        <v>0.98522813603425163</v>
      </c>
    </row>
    <row r="47" spans="1:12" x14ac:dyDescent="0.25">
      <c r="A47" s="3" t="s">
        <v>4</v>
      </c>
      <c r="B47" s="3" t="s">
        <v>21</v>
      </c>
      <c r="C47" s="3" t="s">
        <v>24</v>
      </c>
      <c r="D47" s="3" t="s">
        <v>26</v>
      </c>
      <c r="E47" s="3" t="s">
        <v>6</v>
      </c>
      <c r="H47" t="s">
        <v>45</v>
      </c>
      <c r="J47">
        <f>-(6/7)*LOG(6/7,2)-(1/7)*LOG(1/7,2)</f>
        <v>0.59167277858232747</v>
      </c>
    </row>
    <row r="48" spans="1:12" x14ac:dyDescent="0.25">
      <c r="A48" s="3" t="s">
        <v>4</v>
      </c>
      <c r="B48" s="3" t="s">
        <v>22</v>
      </c>
      <c r="C48" s="3" t="s">
        <v>25</v>
      </c>
      <c r="D48" s="3" t="s">
        <v>26</v>
      </c>
      <c r="E48" s="3" t="s">
        <v>6</v>
      </c>
    </row>
    <row r="49" spans="1:12" ht="18.75" x14ac:dyDescent="0.3">
      <c r="A49" s="3" t="s">
        <v>4</v>
      </c>
      <c r="B49" s="3" t="s">
        <v>22</v>
      </c>
      <c r="C49" s="3" t="s">
        <v>25</v>
      </c>
      <c r="D49" s="3" t="s">
        <v>27</v>
      </c>
      <c r="E49" s="3" t="s">
        <v>5</v>
      </c>
      <c r="H49" s="4" t="s">
        <v>11</v>
      </c>
      <c r="I49" s="4"/>
      <c r="J49" s="4">
        <f>-((9/14)*LOG(9/14,2)) -((5/14) * LOG(5/14,2))</f>
        <v>0.94028595867063092</v>
      </c>
    </row>
    <row r="50" spans="1:12" x14ac:dyDescent="0.25">
      <c r="A50" s="3" t="s">
        <v>3</v>
      </c>
      <c r="B50" s="3" t="s">
        <v>22</v>
      </c>
      <c r="C50" s="3" t="s">
        <v>25</v>
      </c>
      <c r="D50" s="3" t="s">
        <v>27</v>
      </c>
      <c r="E50" s="3" t="s">
        <v>6</v>
      </c>
    </row>
    <row r="51" spans="1:12" x14ac:dyDescent="0.25">
      <c r="A51" s="3" t="s">
        <v>2</v>
      </c>
      <c r="B51" s="3" t="s">
        <v>23</v>
      </c>
      <c r="C51" s="3" t="s">
        <v>24</v>
      </c>
      <c r="D51" s="3" t="s">
        <v>26</v>
      </c>
      <c r="E51" s="3" t="s">
        <v>5</v>
      </c>
    </row>
    <row r="52" spans="1:12" x14ac:dyDescent="0.25">
      <c r="A52" s="3" t="s">
        <v>2</v>
      </c>
      <c r="B52" s="3" t="s">
        <v>22</v>
      </c>
      <c r="C52" s="3" t="s">
        <v>25</v>
      </c>
      <c r="D52" s="3" t="s">
        <v>26</v>
      </c>
      <c r="E52" s="3" t="s">
        <v>6</v>
      </c>
      <c r="H52" s="1" t="s">
        <v>36</v>
      </c>
      <c r="I52" s="1"/>
      <c r="J52" s="1"/>
      <c r="L52" t="s">
        <v>46</v>
      </c>
    </row>
    <row r="53" spans="1:12" x14ac:dyDescent="0.25">
      <c r="A53" s="3" t="s">
        <v>4</v>
      </c>
      <c r="B53" s="3" t="s">
        <v>21</v>
      </c>
      <c r="C53" s="3" t="s">
        <v>25</v>
      </c>
      <c r="D53" s="3" t="s">
        <v>26</v>
      </c>
      <c r="E53" s="3" t="s">
        <v>6</v>
      </c>
      <c r="L53" s="9">
        <f>J49-(J44*J46)-(J45*J47)</f>
        <v>0.15183550136234136</v>
      </c>
    </row>
    <row r="54" spans="1:12" x14ac:dyDescent="0.25">
      <c r="A54" s="3" t="s">
        <v>2</v>
      </c>
      <c r="B54" s="3" t="s">
        <v>21</v>
      </c>
      <c r="C54" s="3" t="s">
        <v>25</v>
      </c>
      <c r="D54" s="3" t="s">
        <v>27</v>
      </c>
      <c r="E54" s="3" t="s">
        <v>6</v>
      </c>
    </row>
    <row r="55" spans="1:12" x14ac:dyDescent="0.25">
      <c r="A55" s="3" t="s">
        <v>3</v>
      </c>
      <c r="B55" s="3" t="s">
        <v>21</v>
      </c>
      <c r="C55" s="3" t="s">
        <v>24</v>
      </c>
      <c r="D55" s="3" t="s">
        <v>27</v>
      </c>
      <c r="E55" s="3" t="s">
        <v>6</v>
      </c>
    </row>
    <row r="56" spans="1:12" x14ac:dyDescent="0.25">
      <c r="A56" s="3" t="s">
        <v>3</v>
      </c>
      <c r="B56" s="3" t="s">
        <v>20</v>
      </c>
      <c r="C56" s="3" t="s">
        <v>25</v>
      </c>
      <c r="D56" s="3" t="s">
        <v>26</v>
      </c>
      <c r="E56" s="3" t="s">
        <v>6</v>
      </c>
    </row>
    <row r="57" spans="1:12" x14ac:dyDescent="0.25">
      <c r="A57" s="3" t="s">
        <v>4</v>
      </c>
      <c r="B57" s="3" t="s">
        <v>21</v>
      </c>
      <c r="C57" s="3" t="s">
        <v>24</v>
      </c>
      <c r="D57" s="3" t="s">
        <v>27</v>
      </c>
      <c r="E57" s="3" t="s">
        <v>5</v>
      </c>
    </row>
    <row r="61" spans="1:12" x14ac:dyDescent="0.25">
      <c r="A61" s="2" t="s">
        <v>0</v>
      </c>
      <c r="B61" s="2" t="s">
        <v>17</v>
      </c>
      <c r="C61" s="2" t="s">
        <v>18</v>
      </c>
      <c r="D61" s="2" t="s">
        <v>19</v>
      </c>
      <c r="E61" s="2" t="s">
        <v>1</v>
      </c>
      <c r="G61" t="s">
        <v>47</v>
      </c>
    </row>
    <row r="62" spans="1:12" x14ac:dyDescent="0.25">
      <c r="A62" s="3" t="s">
        <v>2</v>
      </c>
      <c r="B62" s="3" t="s">
        <v>20</v>
      </c>
      <c r="C62" s="3" t="s">
        <v>24</v>
      </c>
      <c r="D62" s="3" t="s">
        <v>26</v>
      </c>
      <c r="E62" s="3" t="s">
        <v>5</v>
      </c>
      <c r="H62" t="s">
        <v>48</v>
      </c>
      <c r="J62">
        <f>6/14</f>
        <v>0.42857142857142855</v>
      </c>
    </row>
    <row r="63" spans="1:12" x14ac:dyDescent="0.25">
      <c r="A63" s="3" t="s">
        <v>2</v>
      </c>
      <c r="B63" s="3" t="s">
        <v>20</v>
      </c>
      <c r="C63" s="3" t="s">
        <v>24</v>
      </c>
      <c r="D63" s="3" t="s">
        <v>27</v>
      </c>
      <c r="E63" s="3" t="s">
        <v>5</v>
      </c>
      <c r="H63" t="s">
        <v>49</v>
      </c>
      <c r="J63">
        <f>8/14</f>
        <v>0.5714285714285714</v>
      </c>
    </row>
    <row r="64" spans="1:12" x14ac:dyDescent="0.25">
      <c r="A64" s="3" t="s">
        <v>3</v>
      </c>
      <c r="B64" s="3" t="s">
        <v>20</v>
      </c>
      <c r="C64" s="3" t="s">
        <v>24</v>
      </c>
      <c r="D64" s="3" t="s">
        <v>26</v>
      </c>
      <c r="E64" s="3" t="s">
        <v>6</v>
      </c>
      <c r="H64" t="s">
        <v>50</v>
      </c>
      <c r="J64">
        <f>-(3/6)*LOG(3/6,2)-(3/6)*LOG(3/6,2)</f>
        <v>1</v>
      </c>
    </row>
    <row r="65" spans="1:12" x14ac:dyDescent="0.25">
      <c r="A65" s="3" t="s">
        <v>4</v>
      </c>
      <c r="B65" s="3" t="s">
        <v>21</v>
      </c>
      <c r="C65" s="3" t="s">
        <v>24</v>
      </c>
      <c r="D65" s="3" t="s">
        <v>26</v>
      </c>
      <c r="E65" s="3" t="s">
        <v>6</v>
      </c>
      <c r="H65" t="s">
        <v>51</v>
      </c>
      <c r="J65">
        <f>-(6/8)*LOG(6/8,2)-(2/8)*LOG(2/8,2)</f>
        <v>0.81127812445913283</v>
      </c>
    </row>
    <row r="66" spans="1:12" x14ac:dyDescent="0.25">
      <c r="A66" s="3" t="s">
        <v>4</v>
      </c>
      <c r="B66" s="3" t="s">
        <v>22</v>
      </c>
      <c r="C66" s="3" t="s">
        <v>25</v>
      </c>
      <c r="D66" s="3" t="s">
        <v>26</v>
      </c>
      <c r="E66" s="3" t="s">
        <v>6</v>
      </c>
    </row>
    <row r="67" spans="1:12" ht="18.75" x14ac:dyDescent="0.3">
      <c r="A67" s="3" t="s">
        <v>4</v>
      </c>
      <c r="B67" s="3" t="s">
        <v>22</v>
      </c>
      <c r="C67" s="3" t="s">
        <v>25</v>
      </c>
      <c r="D67" s="3" t="s">
        <v>27</v>
      </c>
      <c r="E67" s="3" t="s">
        <v>5</v>
      </c>
      <c r="H67" s="4" t="s">
        <v>11</v>
      </c>
      <c r="I67" s="4"/>
      <c r="J67" s="4">
        <f>-((9/14)*LOG(9/14,2)) -((5/14) * LOG(5/14,2))</f>
        <v>0.94028595867063092</v>
      </c>
    </row>
    <row r="68" spans="1:12" x14ac:dyDescent="0.25">
      <c r="A68" s="3" t="s">
        <v>3</v>
      </c>
      <c r="B68" s="3" t="s">
        <v>22</v>
      </c>
      <c r="C68" s="3" t="s">
        <v>25</v>
      </c>
      <c r="D68" s="3" t="s">
        <v>27</v>
      </c>
      <c r="E68" s="3" t="s">
        <v>6</v>
      </c>
    </row>
    <row r="69" spans="1:12" x14ac:dyDescent="0.25">
      <c r="A69" s="3" t="s">
        <v>2</v>
      </c>
      <c r="B69" s="3" t="s">
        <v>23</v>
      </c>
      <c r="C69" s="3" t="s">
        <v>24</v>
      </c>
      <c r="D69" s="3" t="s">
        <v>26</v>
      </c>
      <c r="E69" s="3" t="s">
        <v>5</v>
      </c>
    </row>
    <row r="70" spans="1:12" x14ac:dyDescent="0.25">
      <c r="A70" s="3" t="s">
        <v>2</v>
      </c>
      <c r="B70" s="3" t="s">
        <v>22</v>
      </c>
      <c r="C70" s="3" t="s">
        <v>25</v>
      </c>
      <c r="D70" s="3" t="s">
        <v>26</v>
      </c>
      <c r="E70" s="3" t="s">
        <v>6</v>
      </c>
      <c r="H70" s="1" t="s">
        <v>36</v>
      </c>
      <c r="I70" s="1"/>
      <c r="J70" s="1"/>
      <c r="L70" t="s">
        <v>52</v>
      </c>
    </row>
    <row r="71" spans="1:12" x14ac:dyDescent="0.25">
      <c r="A71" s="3" t="s">
        <v>4</v>
      </c>
      <c r="B71" s="3" t="s">
        <v>21</v>
      </c>
      <c r="C71" s="3" t="s">
        <v>25</v>
      </c>
      <c r="D71" s="3" t="s">
        <v>26</v>
      </c>
      <c r="E71" s="3" t="s">
        <v>6</v>
      </c>
      <c r="L71" s="9">
        <f>J67-(J62*J64)-(J63*J65)</f>
        <v>4.8127030408269267E-2</v>
      </c>
    </row>
    <row r="72" spans="1:12" x14ac:dyDescent="0.25">
      <c r="A72" s="3" t="s">
        <v>2</v>
      </c>
      <c r="B72" s="3" t="s">
        <v>21</v>
      </c>
      <c r="C72" s="3" t="s">
        <v>25</v>
      </c>
      <c r="D72" s="3" t="s">
        <v>27</v>
      </c>
      <c r="E72" s="3" t="s">
        <v>6</v>
      </c>
    </row>
    <row r="73" spans="1:12" x14ac:dyDescent="0.25">
      <c r="A73" s="3" t="s">
        <v>3</v>
      </c>
      <c r="B73" s="3" t="s">
        <v>21</v>
      </c>
      <c r="C73" s="3" t="s">
        <v>24</v>
      </c>
      <c r="D73" s="3" t="s">
        <v>27</v>
      </c>
      <c r="E73" s="3" t="s">
        <v>6</v>
      </c>
    </row>
    <row r="74" spans="1:12" x14ac:dyDescent="0.25">
      <c r="A74" s="3" t="s">
        <v>3</v>
      </c>
      <c r="B74" s="3" t="s">
        <v>20</v>
      </c>
      <c r="C74" s="3" t="s">
        <v>25</v>
      </c>
      <c r="D74" s="3" t="s">
        <v>26</v>
      </c>
      <c r="E74" s="3" t="s">
        <v>6</v>
      </c>
    </row>
    <row r="75" spans="1:12" x14ac:dyDescent="0.25">
      <c r="A75" s="3" t="s">
        <v>4</v>
      </c>
      <c r="B75" s="3" t="s">
        <v>21</v>
      </c>
      <c r="C75" s="3" t="s">
        <v>24</v>
      </c>
      <c r="D75" s="3" t="s">
        <v>27</v>
      </c>
      <c r="E75" s="3" t="s">
        <v>5</v>
      </c>
    </row>
    <row r="77" spans="1:12" x14ac:dyDescent="0.25">
      <c r="I77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D729-2FFF-415B-A247-DE088F8E57CE}">
  <dimension ref="A1:R90"/>
  <sheetViews>
    <sheetView zoomScale="175" zoomScaleNormal="175" workbookViewId="0">
      <selection activeCell="D2" sqref="D2:D11"/>
    </sheetView>
  </sheetViews>
  <sheetFormatPr defaultRowHeight="15" x14ac:dyDescent="0.25"/>
  <cols>
    <col min="1" max="1" width="7.140625" customWidth="1"/>
    <col min="2" max="2" width="9.28515625" customWidth="1"/>
    <col min="3" max="3" width="9.140625" bestFit="1" customWidth="1"/>
    <col min="7" max="7" width="10.42578125" customWidth="1"/>
    <col min="9" max="9" width="3.140625" customWidth="1"/>
    <col min="10" max="10" width="10.28515625" customWidth="1"/>
  </cols>
  <sheetData>
    <row r="1" spans="1:5" ht="30" x14ac:dyDescent="0.25">
      <c r="A1" s="29" t="s">
        <v>92</v>
      </c>
      <c r="B1" s="29" t="s">
        <v>105</v>
      </c>
      <c r="C1" s="29" t="s">
        <v>93</v>
      </c>
      <c r="D1" s="29" t="s">
        <v>94</v>
      </c>
    </row>
    <row r="2" spans="1:5" x14ac:dyDescent="0.25">
      <c r="A2" s="30" t="s">
        <v>95</v>
      </c>
      <c r="B2" s="30">
        <v>85</v>
      </c>
      <c r="C2" s="30">
        <v>85</v>
      </c>
      <c r="D2" s="30" t="s">
        <v>73</v>
      </c>
    </row>
    <row r="3" spans="1:5" x14ac:dyDescent="0.25">
      <c r="A3" s="30" t="s">
        <v>96</v>
      </c>
      <c r="B3" s="30">
        <v>80</v>
      </c>
      <c r="C3" s="30">
        <v>90</v>
      </c>
      <c r="D3" s="30" t="s">
        <v>73</v>
      </c>
    </row>
    <row r="4" spans="1:5" x14ac:dyDescent="0.25">
      <c r="A4" s="30" t="s">
        <v>97</v>
      </c>
      <c r="B4" s="30">
        <v>83</v>
      </c>
      <c r="C4" s="30">
        <v>78</v>
      </c>
      <c r="D4" s="30" t="s">
        <v>72</v>
      </c>
    </row>
    <row r="5" spans="1:5" x14ac:dyDescent="0.25">
      <c r="A5" s="30" t="s">
        <v>98</v>
      </c>
      <c r="B5" s="30">
        <v>70</v>
      </c>
      <c r="C5" s="30">
        <v>96</v>
      </c>
      <c r="D5" s="30" t="s">
        <v>72</v>
      </c>
    </row>
    <row r="6" spans="1:5" x14ac:dyDescent="0.25">
      <c r="A6" s="30" t="s">
        <v>99</v>
      </c>
      <c r="B6" s="30">
        <v>68</v>
      </c>
      <c r="C6" s="30">
        <v>80</v>
      </c>
      <c r="D6" s="30" t="s">
        <v>72</v>
      </c>
    </row>
    <row r="7" spans="1:5" x14ac:dyDescent="0.25">
      <c r="A7" s="30" t="s">
        <v>100</v>
      </c>
      <c r="B7" s="30">
        <v>65</v>
      </c>
      <c r="C7" s="30">
        <v>70</v>
      </c>
      <c r="D7" s="30" t="s">
        <v>73</v>
      </c>
    </row>
    <row r="8" spans="1:5" x14ac:dyDescent="0.25">
      <c r="A8" s="30" t="s">
        <v>101</v>
      </c>
      <c r="B8" s="30">
        <v>64</v>
      </c>
      <c r="C8" s="30">
        <v>65</v>
      </c>
      <c r="D8" s="30" t="s">
        <v>72</v>
      </c>
    </row>
    <row r="9" spans="1:5" x14ac:dyDescent="0.25">
      <c r="A9" s="30" t="s">
        <v>102</v>
      </c>
      <c r="B9" s="30">
        <v>72</v>
      </c>
      <c r="C9" s="30">
        <v>95</v>
      </c>
      <c r="D9" s="30" t="s">
        <v>73</v>
      </c>
    </row>
    <row r="10" spans="1:5" x14ac:dyDescent="0.25">
      <c r="A10" s="30" t="s">
        <v>103</v>
      </c>
      <c r="B10" s="30">
        <v>69</v>
      </c>
      <c r="C10" s="30">
        <v>70</v>
      </c>
      <c r="D10" s="30" t="s">
        <v>72</v>
      </c>
    </row>
    <row r="11" spans="1:5" x14ac:dyDescent="0.25">
      <c r="A11" s="30" t="s">
        <v>104</v>
      </c>
      <c r="B11" s="30">
        <v>75</v>
      </c>
      <c r="C11" s="30">
        <v>80</v>
      </c>
      <c r="D11" s="30" t="s">
        <v>72</v>
      </c>
    </row>
    <row r="12" spans="1:5" x14ac:dyDescent="0.25">
      <c r="A12" s="42"/>
      <c r="B12" s="42">
        <v>87</v>
      </c>
      <c r="C12" s="30">
        <v>90</v>
      </c>
      <c r="D12" s="30" t="s">
        <v>150</v>
      </c>
    </row>
    <row r="13" spans="1:5" ht="30" x14ac:dyDescent="0.25">
      <c r="C13" s="29" t="s">
        <v>93</v>
      </c>
      <c r="D13" s="29" t="s">
        <v>94</v>
      </c>
    </row>
    <row r="14" spans="1:5" x14ac:dyDescent="0.25">
      <c r="C14" s="30">
        <v>65</v>
      </c>
      <c r="D14" s="30" t="s">
        <v>72</v>
      </c>
    </row>
    <row r="15" spans="1:5" x14ac:dyDescent="0.25">
      <c r="C15" s="30">
        <v>70</v>
      </c>
      <c r="D15" s="30" t="s">
        <v>73</v>
      </c>
      <c r="E15" s="31">
        <f>(C14+C15)/2</f>
        <v>67.5</v>
      </c>
    </row>
    <row r="16" spans="1:5" x14ac:dyDescent="0.25">
      <c r="C16" s="30">
        <v>70</v>
      </c>
      <c r="D16" s="30" t="s">
        <v>72</v>
      </c>
      <c r="E16" s="31">
        <f>(C15+C16)/2</f>
        <v>70</v>
      </c>
    </row>
    <row r="17" spans="1:11" x14ac:dyDescent="0.25">
      <c r="A17" s="49"/>
      <c r="C17" s="30">
        <v>78</v>
      </c>
      <c r="D17" s="30" t="s">
        <v>72</v>
      </c>
      <c r="E17" s="31">
        <f>(C16+C17)/2</f>
        <v>74</v>
      </c>
    </row>
    <row r="18" spans="1:11" x14ac:dyDescent="0.25">
      <c r="C18" s="30">
        <v>80</v>
      </c>
      <c r="D18" s="30" t="s">
        <v>72</v>
      </c>
      <c r="E18" s="31">
        <f t="shared" ref="E18:E23" si="0">(C17+C18)/2</f>
        <v>79</v>
      </c>
      <c r="G18" s="5" t="s">
        <v>18</v>
      </c>
      <c r="J18" t="s">
        <v>106</v>
      </c>
      <c r="K18">
        <v>10</v>
      </c>
    </row>
    <row r="19" spans="1:11" ht="15.75" thickBot="1" x14ac:dyDescent="0.3">
      <c r="C19" s="43">
        <v>80</v>
      </c>
      <c r="D19" s="43" t="s">
        <v>72</v>
      </c>
      <c r="E19" s="44">
        <f>(C18+C19)/2</f>
        <v>80</v>
      </c>
    </row>
    <row r="20" spans="1:11" x14ac:dyDescent="0.25">
      <c r="C20" s="48">
        <v>85</v>
      </c>
      <c r="D20" s="45" t="s">
        <v>73</v>
      </c>
      <c r="E20" s="31">
        <f t="shared" si="0"/>
        <v>82.5</v>
      </c>
      <c r="G20" t="s">
        <v>107</v>
      </c>
      <c r="I20" s="26"/>
      <c r="K20" t="s">
        <v>108</v>
      </c>
    </row>
    <row r="21" spans="1:11" x14ac:dyDescent="0.25">
      <c r="C21" s="47">
        <v>90</v>
      </c>
      <c r="D21" s="46" t="s">
        <v>73</v>
      </c>
      <c r="E21" s="31">
        <f t="shared" si="0"/>
        <v>87.5</v>
      </c>
      <c r="G21" t="s">
        <v>106</v>
      </c>
      <c r="H21">
        <v>6</v>
      </c>
      <c r="I21" s="26"/>
      <c r="J21" t="s">
        <v>106</v>
      </c>
      <c r="K21">
        <v>4</v>
      </c>
    </row>
    <row r="22" spans="1:11" x14ac:dyDescent="0.25">
      <c r="C22" s="47">
        <v>95</v>
      </c>
      <c r="D22" s="46" t="s">
        <v>73</v>
      </c>
      <c r="E22" s="31">
        <f t="shared" si="0"/>
        <v>92.5</v>
      </c>
      <c r="G22" t="s">
        <v>72</v>
      </c>
      <c r="H22">
        <v>5</v>
      </c>
      <c r="I22" s="26"/>
      <c r="J22" t="s">
        <v>72</v>
      </c>
      <c r="K22">
        <v>1</v>
      </c>
    </row>
    <row r="23" spans="1:11" x14ac:dyDescent="0.25">
      <c r="C23" s="36">
        <v>96</v>
      </c>
      <c r="D23" s="30" t="s">
        <v>72</v>
      </c>
      <c r="E23" s="31">
        <f t="shared" si="0"/>
        <v>95.5</v>
      </c>
      <c r="G23" t="s">
        <v>73</v>
      </c>
      <c r="H23">
        <v>1</v>
      </c>
      <c r="I23" s="26"/>
      <c r="J23" t="s">
        <v>73</v>
      </c>
      <c r="K23">
        <v>3</v>
      </c>
    </row>
    <row r="24" spans="1:11" x14ac:dyDescent="0.25">
      <c r="I24" s="26"/>
    </row>
    <row r="25" spans="1:11" x14ac:dyDescent="0.25">
      <c r="G25" s="3" t="s">
        <v>110</v>
      </c>
      <c r="J25" s="3" t="s">
        <v>110</v>
      </c>
    </row>
    <row r="26" spans="1:11" x14ac:dyDescent="0.25">
      <c r="B26" t="s">
        <v>118</v>
      </c>
      <c r="G26" s="3">
        <f>6/10</f>
        <v>0.6</v>
      </c>
      <c r="J26" s="3">
        <f>4/10</f>
        <v>0.4</v>
      </c>
      <c r="K26" t="s">
        <v>119</v>
      </c>
    </row>
    <row r="28" spans="1:11" x14ac:dyDescent="0.25">
      <c r="G28" s="3" t="s">
        <v>109</v>
      </c>
      <c r="I28" s="26"/>
      <c r="J28" s="3" t="s">
        <v>109</v>
      </c>
    </row>
    <row r="29" spans="1:11" x14ac:dyDescent="0.25">
      <c r="G29" s="32">
        <f>-(5/6)*LOG(5/6,2) - (1/6)*LOG(1/6,2)</f>
        <v>0.65002242164835411</v>
      </c>
      <c r="I29" s="26"/>
      <c r="J29" s="32">
        <f>-(1/4)*LOG(1/4,2) - (3/4)*LOG(3/4,2)</f>
        <v>0.81127812445913283</v>
      </c>
    </row>
    <row r="31" spans="1:11" x14ac:dyDescent="0.25">
      <c r="G31" t="s">
        <v>120</v>
      </c>
    </row>
    <row r="32" spans="1:11" x14ac:dyDescent="0.25">
      <c r="G32">
        <f>(G26*G29)+(J26*J29)</f>
        <v>0.71452470277266555</v>
      </c>
    </row>
    <row r="34" spans="3:11" x14ac:dyDescent="0.25">
      <c r="G34" t="s">
        <v>113</v>
      </c>
      <c r="K34" s="1">
        <f>-(6/10)*LOG(6/10,2)-(4/10)*LOG(4/10,2)</f>
        <v>0.97095059445466858</v>
      </c>
    </row>
    <row r="35" spans="3:11" x14ac:dyDescent="0.25">
      <c r="F35" t="s">
        <v>18</v>
      </c>
      <c r="G35" s="5" t="s">
        <v>112</v>
      </c>
      <c r="H35" s="5"/>
      <c r="I35" s="5"/>
      <c r="J35" s="33">
        <f>K34-G32</f>
        <v>0.25642589168200303</v>
      </c>
    </row>
    <row r="38" spans="3:11" ht="30" x14ac:dyDescent="0.25">
      <c r="C38" s="29" t="s">
        <v>105</v>
      </c>
      <c r="D38" s="29" t="s">
        <v>94</v>
      </c>
      <c r="G38" s="5" t="s">
        <v>17</v>
      </c>
    </row>
    <row r="39" spans="3:11" x14ac:dyDescent="0.25">
      <c r="C39" s="30">
        <v>64</v>
      </c>
      <c r="D39" s="30" t="s">
        <v>72</v>
      </c>
    </row>
    <row r="40" spans="3:11" x14ac:dyDescent="0.25">
      <c r="C40" s="30">
        <v>65</v>
      </c>
      <c r="D40" s="30" t="s">
        <v>73</v>
      </c>
      <c r="E40">
        <f>(C39+C40)/2</f>
        <v>64.5</v>
      </c>
      <c r="G40" t="s">
        <v>115</v>
      </c>
      <c r="I40" s="26"/>
      <c r="K40" t="s">
        <v>116</v>
      </c>
    </row>
    <row r="41" spans="3:11" x14ac:dyDescent="0.25">
      <c r="C41" s="30">
        <v>68</v>
      </c>
      <c r="D41" s="30" t="s">
        <v>72</v>
      </c>
      <c r="E41">
        <f t="shared" ref="E41:E48" si="1">(C40+C41)/2</f>
        <v>66.5</v>
      </c>
      <c r="G41" t="s">
        <v>106</v>
      </c>
      <c r="H41">
        <v>6</v>
      </c>
      <c r="I41" s="26"/>
      <c r="J41" t="s">
        <v>106</v>
      </c>
      <c r="K41">
        <v>4</v>
      </c>
    </row>
    <row r="42" spans="3:11" x14ac:dyDescent="0.25">
      <c r="C42" s="30">
        <v>69</v>
      </c>
      <c r="D42" s="30" t="s">
        <v>72</v>
      </c>
      <c r="E42">
        <f t="shared" si="1"/>
        <v>68.5</v>
      </c>
      <c r="G42" t="s">
        <v>72</v>
      </c>
      <c r="H42">
        <v>4</v>
      </c>
      <c r="I42" s="26"/>
      <c r="J42" t="s">
        <v>72</v>
      </c>
      <c r="K42">
        <v>2</v>
      </c>
    </row>
    <row r="43" spans="3:11" x14ac:dyDescent="0.25">
      <c r="C43" s="30">
        <v>70</v>
      </c>
      <c r="D43" s="30" t="s">
        <v>72</v>
      </c>
      <c r="E43">
        <f t="shared" si="1"/>
        <v>69.5</v>
      </c>
      <c r="G43" t="s">
        <v>73</v>
      </c>
      <c r="H43">
        <v>2</v>
      </c>
      <c r="I43" s="26"/>
      <c r="J43" t="s">
        <v>73</v>
      </c>
      <c r="K43">
        <v>2</v>
      </c>
    </row>
    <row r="44" spans="3:11" ht="15.75" thickBot="1" x14ac:dyDescent="0.3">
      <c r="C44" s="35">
        <v>72</v>
      </c>
      <c r="D44" s="30" t="s">
        <v>73</v>
      </c>
      <c r="E44" s="34">
        <f t="shared" si="1"/>
        <v>71</v>
      </c>
      <c r="I44" s="26"/>
    </row>
    <row r="45" spans="3:11" x14ac:dyDescent="0.25">
      <c r="C45" s="35">
        <v>75</v>
      </c>
      <c r="D45" s="30" t="s">
        <v>72</v>
      </c>
      <c r="E45">
        <f t="shared" si="1"/>
        <v>73.5</v>
      </c>
      <c r="G45" s="3" t="s">
        <v>110</v>
      </c>
      <c r="J45" s="3" t="s">
        <v>110</v>
      </c>
      <c r="K45" t="s">
        <v>117</v>
      </c>
    </row>
    <row r="46" spans="3:11" x14ac:dyDescent="0.25">
      <c r="C46" s="35">
        <v>80</v>
      </c>
      <c r="D46" s="30" t="s">
        <v>73</v>
      </c>
      <c r="E46">
        <f t="shared" si="1"/>
        <v>77.5</v>
      </c>
      <c r="G46" s="3">
        <f>6/10</f>
        <v>0.6</v>
      </c>
      <c r="J46" s="3">
        <f>4/10</f>
        <v>0.4</v>
      </c>
    </row>
    <row r="47" spans="3:11" x14ac:dyDescent="0.25">
      <c r="C47" s="30">
        <v>83</v>
      </c>
      <c r="D47" s="30" t="s">
        <v>72</v>
      </c>
      <c r="E47">
        <f t="shared" si="1"/>
        <v>81.5</v>
      </c>
    </row>
    <row r="48" spans="3:11" x14ac:dyDescent="0.25">
      <c r="C48" s="30">
        <v>85</v>
      </c>
      <c r="D48" s="30" t="s">
        <v>73</v>
      </c>
      <c r="E48">
        <f t="shared" si="1"/>
        <v>84</v>
      </c>
      <c r="G48" s="3" t="s">
        <v>109</v>
      </c>
      <c r="I48" s="26"/>
      <c r="J48" s="3" t="s">
        <v>109</v>
      </c>
    </row>
    <row r="49" spans="4:11" x14ac:dyDescent="0.25">
      <c r="G49" s="32">
        <f>-(4/6)*LOG(4/6,2) - (2/6)*LOG(2/6,2)</f>
        <v>0.91829583405448956</v>
      </c>
      <c r="I49" s="26"/>
      <c r="J49" s="32">
        <f>-(2/4)*LOG(2/4,2) - (2/4)*LOG(2/4,2)</f>
        <v>1</v>
      </c>
    </row>
    <row r="51" spans="4:11" x14ac:dyDescent="0.25">
      <c r="G51" t="s">
        <v>111</v>
      </c>
    </row>
    <row r="52" spans="4:11" x14ac:dyDescent="0.25">
      <c r="G52">
        <f>(G46*G49)+(J46*J49)</f>
        <v>0.95097750043269369</v>
      </c>
    </row>
    <row r="54" spans="4:11" x14ac:dyDescent="0.25">
      <c r="G54" t="s">
        <v>113</v>
      </c>
      <c r="K54" s="1">
        <f>-(6/10)*LOG(6/10,2)-(4/10)*LOG(4/10,2)</f>
        <v>0.97095059445466858</v>
      </c>
    </row>
    <row r="55" spans="4:11" x14ac:dyDescent="0.25">
      <c r="F55" t="s">
        <v>17</v>
      </c>
      <c r="G55" s="5" t="s">
        <v>112</v>
      </c>
      <c r="H55" s="5"/>
      <c r="I55" s="5"/>
      <c r="J55" s="33">
        <f>K54-G52</f>
        <v>1.9973094021974891E-2</v>
      </c>
    </row>
    <row r="57" spans="4:11" x14ac:dyDescent="0.25">
      <c r="D57" s="5" t="s">
        <v>114</v>
      </c>
      <c r="E57" s="5"/>
      <c r="F57" s="5"/>
    </row>
    <row r="65" spans="3:13" ht="30" x14ac:dyDescent="0.25">
      <c r="E65" s="29" t="s">
        <v>92</v>
      </c>
      <c r="F65" s="29" t="s">
        <v>105</v>
      </c>
      <c r="G65" s="29" t="s">
        <v>93</v>
      </c>
      <c r="H65" s="29" t="s">
        <v>94</v>
      </c>
    </row>
    <row r="66" spans="3:13" x14ac:dyDescent="0.25">
      <c r="E66" s="30" t="s">
        <v>101</v>
      </c>
      <c r="F66" s="30">
        <v>64</v>
      </c>
      <c r="G66" s="30">
        <v>65</v>
      </c>
      <c r="H66" s="30" t="s">
        <v>72</v>
      </c>
    </row>
    <row r="67" spans="3:13" x14ac:dyDescent="0.25">
      <c r="E67" s="30" t="s">
        <v>100</v>
      </c>
      <c r="F67" s="30">
        <v>65</v>
      </c>
      <c r="G67" s="30">
        <v>70</v>
      </c>
      <c r="H67" s="30" t="s">
        <v>73</v>
      </c>
    </row>
    <row r="68" spans="3:13" x14ac:dyDescent="0.25">
      <c r="E68" s="30" t="s">
        <v>103</v>
      </c>
      <c r="F68" s="30">
        <v>69</v>
      </c>
      <c r="G68" s="30">
        <v>70</v>
      </c>
      <c r="H68" s="30" t="s">
        <v>72</v>
      </c>
    </row>
    <row r="69" spans="3:13" x14ac:dyDescent="0.25">
      <c r="E69" s="30" t="s">
        <v>97</v>
      </c>
      <c r="F69" s="30">
        <v>83</v>
      </c>
      <c r="G69" s="30">
        <v>78</v>
      </c>
      <c r="H69" s="30" t="s">
        <v>72</v>
      </c>
    </row>
    <row r="70" spans="3:13" x14ac:dyDescent="0.25">
      <c r="E70" s="30" t="s">
        <v>99</v>
      </c>
      <c r="F70" s="30">
        <v>68</v>
      </c>
      <c r="G70" s="30">
        <v>80</v>
      </c>
      <c r="H70" s="30" t="s">
        <v>72</v>
      </c>
    </row>
    <row r="71" spans="3:13" ht="15.75" thickBot="1" x14ac:dyDescent="0.3">
      <c r="E71" s="37" t="s">
        <v>104</v>
      </c>
      <c r="F71" s="37">
        <v>75</v>
      </c>
      <c r="G71" s="37">
        <v>80</v>
      </c>
      <c r="H71" s="37" t="s">
        <v>72</v>
      </c>
    </row>
    <row r="72" spans="3:13" x14ac:dyDescent="0.25">
      <c r="E72" s="36" t="s">
        <v>95</v>
      </c>
      <c r="F72" s="36">
        <v>85</v>
      </c>
      <c r="G72" s="36">
        <v>85</v>
      </c>
      <c r="H72" s="36" t="s">
        <v>73</v>
      </c>
    </row>
    <row r="73" spans="3:13" x14ac:dyDescent="0.25">
      <c r="E73" s="30" t="s">
        <v>96</v>
      </c>
      <c r="F73" s="30">
        <v>80</v>
      </c>
      <c r="G73" s="30">
        <v>90</v>
      </c>
      <c r="H73" s="30" t="s">
        <v>73</v>
      </c>
    </row>
    <row r="74" spans="3:13" x14ac:dyDescent="0.25">
      <c r="E74" s="30" t="s">
        <v>102</v>
      </c>
      <c r="F74" s="30">
        <v>72</v>
      </c>
      <c r="G74" s="30">
        <v>95</v>
      </c>
      <c r="H74" s="30" t="s">
        <v>73</v>
      </c>
    </row>
    <row r="75" spans="3:13" x14ac:dyDescent="0.25">
      <c r="D75" s="26"/>
      <c r="E75" s="30" t="s">
        <v>98</v>
      </c>
      <c r="F75" s="30">
        <v>70</v>
      </c>
      <c r="G75" s="30">
        <v>96</v>
      </c>
      <c r="H75" s="30" t="s">
        <v>72</v>
      </c>
      <c r="I75" s="38"/>
      <c r="J75" s="38"/>
      <c r="K75" s="38"/>
    </row>
    <row r="76" spans="3:13" x14ac:dyDescent="0.25">
      <c r="D76" s="26"/>
      <c r="E76" s="39"/>
      <c r="G76" t="s">
        <v>107</v>
      </c>
      <c r="K76" s="38"/>
    </row>
    <row r="77" spans="3:13" ht="30" x14ac:dyDescent="0.25">
      <c r="C77" s="29" t="s">
        <v>92</v>
      </c>
      <c r="D77" s="29" t="s">
        <v>105</v>
      </c>
      <c r="E77" s="29" t="s">
        <v>93</v>
      </c>
      <c r="F77" s="29" t="s">
        <v>94</v>
      </c>
      <c r="J77" s="29" t="s">
        <v>92</v>
      </c>
      <c r="K77" s="29" t="s">
        <v>105</v>
      </c>
      <c r="L77" s="29" t="s">
        <v>93</v>
      </c>
      <c r="M77" s="29" t="s">
        <v>94</v>
      </c>
    </row>
    <row r="78" spans="3:13" x14ac:dyDescent="0.25">
      <c r="C78" s="30" t="s">
        <v>101</v>
      </c>
      <c r="D78" s="30">
        <v>64</v>
      </c>
      <c r="E78" s="30">
        <v>65</v>
      </c>
      <c r="F78" s="30" t="s">
        <v>72</v>
      </c>
      <c r="J78" s="36" t="s">
        <v>98</v>
      </c>
      <c r="K78" s="36">
        <v>70</v>
      </c>
      <c r="L78" s="36">
        <v>96</v>
      </c>
      <c r="M78" s="36" t="s">
        <v>72</v>
      </c>
    </row>
    <row r="79" spans="3:13" x14ac:dyDescent="0.25">
      <c r="C79" s="30" t="s">
        <v>100</v>
      </c>
      <c r="D79" s="30">
        <v>65</v>
      </c>
      <c r="E79" s="30">
        <v>70</v>
      </c>
      <c r="F79" s="30" t="s">
        <v>73</v>
      </c>
      <c r="J79" s="30" t="s">
        <v>102</v>
      </c>
      <c r="K79" s="30">
        <v>72</v>
      </c>
      <c r="L79" s="30">
        <v>95</v>
      </c>
      <c r="M79" s="30" t="s">
        <v>73</v>
      </c>
    </row>
    <row r="80" spans="3:13" x14ac:dyDescent="0.25">
      <c r="C80" s="30" t="s">
        <v>99</v>
      </c>
      <c r="D80" s="30">
        <v>68</v>
      </c>
      <c r="E80" s="30">
        <v>80</v>
      </c>
      <c r="F80" s="30" t="s">
        <v>72</v>
      </c>
      <c r="J80" s="30" t="s">
        <v>96</v>
      </c>
      <c r="K80" s="30">
        <v>80</v>
      </c>
      <c r="L80" s="30">
        <v>90</v>
      </c>
      <c r="M80" s="30" t="s">
        <v>73</v>
      </c>
    </row>
    <row r="81" spans="1:18" x14ac:dyDescent="0.25">
      <c r="C81" s="30" t="s">
        <v>103</v>
      </c>
      <c r="D81" s="30">
        <v>69</v>
      </c>
      <c r="E81" s="30">
        <v>70</v>
      </c>
      <c r="F81" s="30" t="s">
        <v>72</v>
      </c>
      <c r="J81" s="30" t="s">
        <v>95</v>
      </c>
      <c r="K81" s="30">
        <v>85</v>
      </c>
      <c r="L81" s="30">
        <v>85</v>
      </c>
      <c r="M81" s="30" t="s">
        <v>73</v>
      </c>
      <c r="N81" s="26"/>
      <c r="O81" s="26"/>
      <c r="P81" s="26"/>
    </row>
    <row r="82" spans="1:18" x14ac:dyDescent="0.25">
      <c r="C82" s="30" t="s">
        <v>104</v>
      </c>
      <c r="D82" s="30">
        <v>75</v>
      </c>
      <c r="E82" s="30">
        <v>80</v>
      </c>
      <c r="F82" s="30" t="s">
        <v>72</v>
      </c>
      <c r="L82" s="26"/>
      <c r="P82" s="26"/>
    </row>
    <row r="83" spans="1:18" ht="30.75" thickBot="1" x14ac:dyDescent="0.3">
      <c r="B83" s="39"/>
      <c r="C83" s="37" t="s">
        <v>97</v>
      </c>
      <c r="D83" s="37">
        <v>83</v>
      </c>
      <c r="E83" s="37">
        <v>78</v>
      </c>
      <c r="F83" s="37" t="s">
        <v>72</v>
      </c>
      <c r="J83" s="29" t="s">
        <v>92</v>
      </c>
      <c r="K83" s="29" t="s">
        <v>105</v>
      </c>
      <c r="L83" s="29" t="s">
        <v>93</v>
      </c>
      <c r="M83" s="29" t="s">
        <v>94</v>
      </c>
      <c r="O83" s="29" t="s">
        <v>92</v>
      </c>
      <c r="P83" s="29" t="s">
        <v>105</v>
      </c>
      <c r="Q83" s="29" t="s">
        <v>93</v>
      </c>
      <c r="R83" s="29" t="s">
        <v>94</v>
      </c>
    </row>
    <row r="84" spans="1:18" x14ac:dyDescent="0.25">
      <c r="B84" s="39"/>
      <c r="C84" s="26"/>
      <c r="F84" s="26"/>
      <c r="J84" s="30" t="s">
        <v>102</v>
      </c>
      <c r="K84" s="30">
        <v>72</v>
      </c>
      <c r="L84" s="30">
        <v>95</v>
      </c>
      <c r="M84" s="30" t="s">
        <v>73</v>
      </c>
      <c r="O84" s="36" t="s">
        <v>98</v>
      </c>
      <c r="P84" s="36">
        <v>70</v>
      </c>
      <c r="Q84" s="36">
        <v>96</v>
      </c>
      <c r="R84" s="36" t="s">
        <v>72</v>
      </c>
    </row>
    <row r="85" spans="1:18" ht="24" customHeight="1" x14ac:dyDescent="0.25">
      <c r="A85" s="40" t="s">
        <v>105</v>
      </c>
      <c r="B85" s="40" t="s">
        <v>93</v>
      </c>
      <c r="C85" s="40" t="s">
        <v>94</v>
      </c>
      <c r="D85" s="41"/>
      <c r="E85" s="40" t="s">
        <v>105</v>
      </c>
      <c r="F85" s="40" t="s">
        <v>93</v>
      </c>
      <c r="G85" s="40" t="s">
        <v>94</v>
      </c>
      <c r="J85" s="30" t="s">
        <v>96</v>
      </c>
      <c r="K85" s="30">
        <v>80</v>
      </c>
      <c r="L85" s="30">
        <v>90</v>
      </c>
      <c r="M85" s="30" t="s">
        <v>73</v>
      </c>
      <c r="Q85" t="s">
        <v>122</v>
      </c>
    </row>
    <row r="86" spans="1:18" x14ac:dyDescent="0.25">
      <c r="A86" s="30">
        <v>64</v>
      </c>
      <c r="B86" s="30">
        <v>65</v>
      </c>
      <c r="C86" s="30" t="s">
        <v>72</v>
      </c>
      <c r="E86" s="30">
        <v>68</v>
      </c>
      <c r="F86" s="30">
        <v>80</v>
      </c>
      <c r="G86" s="30" t="s">
        <v>72</v>
      </c>
      <c r="J86" s="30" t="s">
        <v>95</v>
      </c>
      <c r="K86" s="30">
        <v>85</v>
      </c>
      <c r="L86" s="30">
        <v>85</v>
      </c>
      <c r="M86" s="30" t="s">
        <v>73</v>
      </c>
    </row>
    <row r="87" spans="1:18" x14ac:dyDescent="0.25">
      <c r="A87" s="30">
        <v>65</v>
      </c>
      <c r="B87" s="30">
        <v>70</v>
      </c>
      <c r="C87" s="30" t="s">
        <v>73</v>
      </c>
      <c r="E87" s="30">
        <v>69</v>
      </c>
      <c r="F87" s="30">
        <v>70</v>
      </c>
      <c r="G87" s="30" t="s">
        <v>72</v>
      </c>
      <c r="L87" t="s">
        <v>122</v>
      </c>
    </row>
    <row r="88" spans="1:18" x14ac:dyDescent="0.25">
      <c r="E88" s="30">
        <v>75</v>
      </c>
      <c r="F88" s="30">
        <v>80</v>
      </c>
      <c r="G88" s="30" t="s">
        <v>72</v>
      </c>
    </row>
    <row r="89" spans="1:18" ht="15.75" thickBot="1" x14ac:dyDescent="0.3">
      <c r="E89" s="37">
        <v>83</v>
      </c>
      <c r="F89" s="37">
        <v>78</v>
      </c>
      <c r="G89" s="37" t="s">
        <v>72</v>
      </c>
    </row>
    <row r="90" spans="1:18" x14ac:dyDescent="0.25">
      <c r="F90" t="s">
        <v>121</v>
      </c>
    </row>
  </sheetData>
  <sortState xmlns:xlrd2="http://schemas.microsoft.com/office/spreadsheetml/2017/richdata2" ref="A2:D10">
    <sortCondition ref="A2:A1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C136-F509-46C1-BF1E-A88D27D8B2F3}">
  <dimension ref="A1:O52"/>
  <sheetViews>
    <sheetView tabSelected="1" topLeftCell="A7" zoomScale="130" zoomScaleNormal="130" workbookViewId="0">
      <selection activeCell="N14" sqref="N14"/>
    </sheetView>
  </sheetViews>
  <sheetFormatPr defaultRowHeight="15" x14ac:dyDescent="0.25"/>
  <cols>
    <col min="2" max="2" width="17.42578125" bestFit="1" customWidth="1"/>
    <col min="3" max="3" width="11" bestFit="1" customWidth="1"/>
  </cols>
  <sheetData>
    <row r="1" spans="1:15" x14ac:dyDescent="0.25">
      <c r="A1" s="50" t="s">
        <v>125</v>
      </c>
      <c r="B1" s="51" t="s">
        <v>123</v>
      </c>
      <c r="C1" s="52" t="s">
        <v>124</v>
      </c>
      <c r="F1" t="s">
        <v>128</v>
      </c>
    </row>
    <row r="2" spans="1:15" x14ac:dyDescent="0.25">
      <c r="A2" s="53">
        <v>1</v>
      </c>
      <c r="B2" s="3">
        <v>1000</v>
      </c>
      <c r="C2" s="54">
        <v>200</v>
      </c>
      <c r="F2" t="s">
        <v>129</v>
      </c>
    </row>
    <row r="3" spans="1:15" x14ac:dyDescent="0.25">
      <c r="A3" s="53">
        <v>2</v>
      </c>
      <c r="B3" s="3">
        <v>1200</v>
      </c>
      <c r="C3" s="54">
        <v>210</v>
      </c>
    </row>
    <row r="4" spans="1:15" x14ac:dyDescent="0.25">
      <c r="A4" s="53">
        <v>3</v>
      </c>
      <c r="B4" s="3">
        <v>2500</v>
      </c>
      <c r="C4" s="54">
        <v>500</v>
      </c>
      <c r="N4" s="3">
        <v>1</v>
      </c>
      <c r="O4" s="3" t="s">
        <v>140</v>
      </c>
    </row>
    <row r="5" spans="1:15" x14ac:dyDescent="0.25">
      <c r="A5" s="53">
        <v>4</v>
      </c>
      <c r="B5" s="3">
        <v>2800</v>
      </c>
      <c r="C5" s="54">
        <v>520</v>
      </c>
      <c r="N5" s="3">
        <v>2</v>
      </c>
      <c r="O5" s="3" t="s">
        <v>141</v>
      </c>
    </row>
    <row r="6" spans="1:15" x14ac:dyDescent="0.25">
      <c r="A6" s="55">
        <v>5</v>
      </c>
      <c r="B6" s="21">
        <v>3000</v>
      </c>
      <c r="C6" s="56">
        <v>580</v>
      </c>
      <c r="H6" s="57" t="s">
        <v>126</v>
      </c>
      <c r="I6" s="57"/>
      <c r="J6" s="57"/>
      <c r="K6" s="57"/>
      <c r="L6" s="57"/>
      <c r="M6" s="57" t="s">
        <v>127</v>
      </c>
      <c r="N6" s="3">
        <v>3</v>
      </c>
      <c r="O6" s="3" t="s">
        <v>142</v>
      </c>
    </row>
    <row r="7" spans="1:15" x14ac:dyDescent="0.25">
      <c r="H7" s="57">
        <v>0</v>
      </c>
      <c r="I7" s="57"/>
      <c r="J7" s="57"/>
      <c r="K7" s="57"/>
      <c r="L7" s="57"/>
      <c r="M7" s="57">
        <f>_xlfn.STDEV.S(B11:B14)</f>
        <v>165.20189667999173</v>
      </c>
      <c r="N7" s="3">
        <v>4</v>
      </c>
      <c r="O7" s="3" t="s">
        <v>143</v>
      </c>
    </row>
    <row r="8" spans="1:15" x14ac:dyDescent="0.25">
      <c r="H8" s="57"/>
      <c r="I8" s="57"/>
      <c r="J8" s="57"/>
      <c r="K8" s="57"/>
      <c r="L8" s="57"/>
      <c r="M8" s="57"/>
      <c r="N8" s="3">
        <v>5</v>
      </c>
      <c r="O8" s="3" t="s">
        <v>144</v>
      </c>
    </row>
    <row r="9" spans="1:15" x14ac:dyDescent="0.25">
      <c r="A9" s="3" t="s">
        <v>123</v>
      </c>
      <c r="B9" s="3" t="s">
        <v>124</v>
      </c>
      <c r="C9" s="3" t="s">
        <v>130</v>
      </c>
      <c r="D9" s="3"/>
      <c r="E9" s="3" t="s">
        <v>151</v>
      </c>
      <c r="F9" s="19" t="s">
        <v>137</v>
      </c>
      <c r="H9" s="57" t="s">
        <v>132</v>
      </c>
      <c r="I9" s="57"/>
      <c r="J9" s="57"/>
      <c r="K9" s="57"/>
      <c r="L9" s="57">
        <f>(1/5*H7) + (4/5*M7)</f>
        <v>132.16151734399338</v>
      </c>
      <c r="M9" s="57"/>
      <c r="N9" s="3">
        <v>6</v>
      </c>
      <c r="O9" s="3" t="s">
        <v>145</v>
      </c>
    </row>
    <row r="10" spans="1:15" x14ac:dyDescent="0.25">
      <c r="A10" s="3">
        <v>1000</v>
      </c>
      <c r="B10" s="3">
        <v>200</v>
      </c>
      <c r="C10" s="3"/>
      <c r="D10" s="3"/>
      <c r="E10">
        <f>L9</f>
        <v>132.16151734399338</v>
      </c>
      <c r="F10" s="5">
        <f>$E$16-E10</f>
        <v>50.102028105995061</v>
      </c>
      <c r="N10" s="3">
        <v>7</v>
      </c>
      <c r="O10" s="3" t="s">
        <v>146</v>
      </c>
    </row>
    <row r="11" spans="1:15" x14ac:dyDescent="0.25">
      <c r="A11" s="3">
        <v>1200</v>
      </c>
      <c r="B11" s="3">
        <v>210</v>
      </c>
      <c r="C11" s="3">
        <f>(A10+A11)/2</f>
        <v>1100</v>
      </c>
      <c r="D11" s="3"/>
      <c r="E11" s="3">
        <f>L14</f>
        <v>27.808419118339781</v>
      </c>
      <c r="F11" s="25">
        <f>E16-E11</f>
        <v>154.45512633164867</v>
      </c>
      <c r="H11" s="57" t="s">
        <v>133</v>
      </c>
      <c r="I11" s="57"/>
      <c r="J11" s="57"/>
      <c r="K11" s="57"/>
      <c r="L11" s="57"/>
      <c r="M11" s="57" t="s">
        <v>134</v>
      </c>
    </row>
    <row r="12" spans="1:15" x14ac:dyDescent="0.25">
      <c r="A12" s="3">
        <v>2500</v>
      </c>
      <c r="B12" s="3">
        <v>500</v>
      </c>
      <c r="C12" s="3">
        <f>(A11+A12)/2</f>
        <v>1850</v>
      </c>
      <c r="D12" s="3"/>
      <c r="E12" s="3">
        <f>L19</f>
        <v>119.20558610153361</v>
      </c>
      <c r="F12" s="25">
        <f>E16-E12</f>
        <v>63.05795934845483</v>
      </c>
      <c r="H12" s="57">
        <f>_xlfn.STDEV.S(B10:B11)</f>
        <v>7.0710678118654755</v>
      </c>
      <c r="I12" s="57"/>
      <c r="J12" s="57"/>
      <c r="K12" s="57"/>
      <c r="L12" s="57"/>
      <c r="M12" s="57">
        <f>_xlfn.STDEV.S(B12:B14)</f>
        <v>41.633319989322651</v>
      </c>
    </row>
    <row r="13" spans="1:15" x14ac:dyDescent="0.25">
      <c r="A13" s="3">
        <v>2800</v>
      </c>
      <c r="B13" s="3">
        <v>520</v>
      </c>
      <c r="C13" s="3">
        <f>(A12+A13)/2</f>
        <v>2650</v>
      </c>
      <c r="D13" s="3"/>
      <c r="E13" s="3">
        <f>L24</f>
        <v>141.06263384279575</v>
      </c>
      <c r="F13" s="25">
        <f>E16-E13</f>
        <v>41.200911607192694</v>
      </c>
      <c r="H13" s="57"/>
      <c r="I13" s="57"/>
      <c r="J13" s="57"/>
      <c r="K13" s="57"/>
      <c r="L13" s="57"/>
      <c r="M13" s="57"/>
    </row>
    <row r="14" spans="1:15" x14ac:dyDescent="0.25">
      <c r="A14" s="3">
        <v>3000</v>
      </c>
      <c r="B14" s="3">
        <v>580</v>
      </c>
      <c r="C14" s="3">
        <f>(A13+A14)/2</f>
        <v>2900</v>
      </c>
      <c r="D14" s="3"/>
      <c r="E14" s="3">
        <f>L29</f>
        <v>182.26354544998844</v>
      </c>
      <c r="F14" s="25">
        <f>E16-E14</f>
        <v>0</v>
      </c>
      <c r="H14" s="57" t="s">
        <v>132</v>
      </c>
      <c r="I14" s="57"/>
      <c r="J14" s="57"/>
      <c r="K14" s="57"/>
      <c r="L14" s="57">
        <f>(2/5*H12) + (3/5*M12)</f>
        <v>27.808419118339781</v>
      </c>
      <c r="M14" s="57"/>
    </row>
    <row r="15" spans="1:15" x14ac:dyDescent="0.25">
      <c r="A15" s="3">
        <v>1200</v>
      </c>
      <c r="B15" s="3"/>
      <c r="C15" s="3"/>
      <c r="D15" s="3"/>
      <c r="E15" s="3"/>
      <c r="F15" s="25"/>
    </row>
    <row r="16" spans="1:15" x14ac:dyDescent="0.25">
      <c r="A16" s="3"/>
      <c r="B16" s="3"/>
      <c r="C16" s="32" t="s">
        <v>131</v>
      </c>
      <c r="D16" s="3"/>
      <c r="E16" s="3">
        <f>_xlfn.STDEV.S(B10:B14)</f>
        <v>182.26354544998844</v>
      </c>
      <c r="F16" s="25"/>
      <c r="H16" s="57" t="s">
        <v>135</v>
      </c>
      <c r="I16" s="57"/>
      <c r="J16" s="57"/>
      <c r="K16" s="57"/>
      <c r="L16" s="57"/>
      <c r="M16" s="57" t="s">
        <v>136</v>
      </c>
    </row>
    <row r="17" spans="8:13" x14ac:dyDescent="0.25">
      <c r="H17" s="57">
        <f>_xlfn.STDEV.S(B10:B12)</f>
        <v>170.39170558842747</v>
      </c>
      <c r="I17" s="57"/>
      <c r="J17" s="57"/>
      <c r="K17" s="57"/>
      <c r="L17" s="57"/>
      <c r="M17" s="57">
        <f>_xlfn.STDEV.S(B13:B14)</f>
        <v>42.426406871192853</v>
      </c>
    </row>
    <row r="18" spans="8:13" x14ac:dyDescent="0.25">
      <c r="H18" s="57"/>
      <c r="I18" s="57"/>
      <c r="J18" s="57"/>
      <c r="K18" s="57"/>
      <c r="L18" s="57"/>
      <c r="M18" s="57"/>
    </row>
    <row r="19" spans="8:13" x14ac:dyDescent="0.25">
      <c r="H19" s="57" t="s">
        <v>132</v>
      </c>
      <c r="I19" s="57"/>
      <c r="J19" s="57"/>
      <c r="K19" s="57"/>
      <c r="L19" s="57">
        <f>(3/5*H17) + (2/5*M17)</f>
        <v>119.20558610153361</v>
      </c>
      <c r="M19" s="57"/>
    </row>
    <row r="21" spans="8:13" x14ac:dyDescent="0.25">
      <c r="H21" s="57" t="s">
        <v>138</v>
      </c>
      <c r="I21" s="57"/>
      <c r="J21" s="57"/>
      <c r="K21" s="57"/>
      <c r="L21" s="57"/>
      <c r="M21" s="57" t="s">
        <v>153</v>
      </c>
    </row>
    <row r="22" spans="8:13" x14ac:dyDescent="0.25">
      <c r="H22" s="57">
        <f>_xlfn.STDEV.S(B10:B13)</f>
        <v>176.32829230349469</v>
      </c>
      <c r="I22" s="57"/>
      <c r="J22" s="57"/>
      <c r="K22" s="57"/>
      <c r="L22" s="57"/>
      <c r="M22" s="57">
        <v>0</v>
      </c>
    </row>
    <row r="23" spans="8:13" x14ac:dyDescent="0.25">
      <c r="H23" s="57"/>
      <c r="I23" s="57"/>
      <c r="J23" s="57"/>
      <c r="K23" s="57"/>
      <c r="L23" s="57"/>
      <c r="M23" s="57"/>
    </row>
    <row r="24" spans="8:13" x14ac:dyDescent="0.25">
      <c r="H24" s="57" t="s">
        <v>132</v>
      </c>
      <c r="I24" s="57"/>
      <c r="J24" s="57"/>
      <c r="K24" s="57"/>
      <c r="L24" s="57">
        <f>(4/5*H22) + (1/5*M22)</f>
        <v>141.06263384279575</v>
      </c>
      <c r="M24" s="57"/>
    </row>
    <row r="26" spans="8:13" x14ac:dyDescent="0.25">
      <c r="H26" s="57" t="s">
        <v>138</v>
      </c>
      <c r="I26" s="57"/>
      <c r="J26" s="57"/>
      <c r="K26" s="57"/>
      <c r="L26" s="57"/>
      <c r="M26" s="57" t="s">
        <v>153</v>
      </c>
    </row>
    <row r="27" spans="8:13" x14ac:dyDescent="0.25">
      <c r="H27" s="57">
        <f>_xlfn.STDEV.S(B10:B14)</f>
        <v>182.26354544998844</v>
      </c>
      <c r="I27" s="57"/>
      <c r="J27" s="57"/>
      <c r="K27" s="57"/>
      <c r="L27" s="57"/>
      <c r="M27" s="57">
        <v>0</v>
      </c>
    </row>
    <row r="28" spans="8:13" x14ac:dyDescent="0.25">
      <c r="H28" s="57"/>
      <c r="I28" s="57"/>
      <c r="J28" s="57"/>
      <c r="K28" s="57"/>
      <c r="L28" s="57"/>
      <c r="M28" s="57"/>
    </row>
    <row r="29" spans="8:13" x14ac:dyDescent="0.25">
      <c r="H29" s="57" t="s">
        <v>132</v>
      </c>
      <c r="I29" s="57"/>
      <c r="J29" s="57"/>
      <c r="K29" s="57"/>
      <c r="L29" s="57">
        <f>(5/5*H27) + (0/5*M27)</f>
        <v>182.26354544998844</v>
      </c>
      <c r="M29" s="57"/>
    </row>
    <row r="33" spans="3:11" x14ac:dyDescent="0.25">
      <c r="G33" t="s">
        <v>139</v>
      </c>
    </row>
    <row r="34" spans="3:11" x14ac:dyDescent="0.25">
      <c r="G34" s="50" t="s">
        <v>125</v>
      </c>
      <c r="H34" s="51" t="s">
        <v>123</v>
      </c>
      <c r="I34" s="52" t="s">
        <v>124</v>
      </c>
    </row>
    <row r="35" spans="3:11" x14ac:dyDescent="0.25">
      <c r="G35" s="53">
        <v>1</v>
      </c>
      <c r="H35" s="3">
        <v>1000</v>
      </c>
      <c r="I35" s="54">
        <v>200</v>
      </c>
    </row>
    <row r="36" spans="3:11" x14ac:dyDescent="0.25">
      <c r="G36" s="53">
        <v>2</v>
      </c>
      <c r="H36" s="3">
        <v>1200</v>
      </c>
      <c r="I36" s="54">
        <v>210</v>
      </c>
    </row>
    <row r="37" spans="3:11" x14ac:dyDescent="0.25">
      <c r="G37" s="53">
        <v>3</v>
      </c>
      <c r="H37" s="3">
        <v>2500</v>
      </c>
      <c r="I37" s="54">
        <v>500</v>
      </c>
    </row>
    <row r="38" spans="3:11" x14ac:dyDescent="0.25">
      <c r="G38" s="53">
        <v>4</v>
      </c>
      <c r="H38" s="3">
        <v>2800</v>
      </c>
      <c r="I38" s="54">
        <v>520</v>
      </c>
    </row>
    <row r="39" spans="3:11" x14ac:dyDescent="0.25">
      <c r="G39" s="55">
        <v>5</v>
      </c>
      <c r="H39" s="21">
        <v>3000</v>
      </c>
      <c r="I39" s="56">
        <v>580</v>
      </c>
    </row>
    <row r="40" spans="3:11" x14ac:dyDescent="0.25">
      <c r="G40" s="55"/>
      <c r="H40" s="21" t="s">
        <v>133</v>
      </c>
      <c r="I40" s="56"/>
    </row>
    <row r="41" spans="3:11" x14ac:dyDescent="0.25">
      <c r="E41" s="3" t="s">
        <v>125</v>
      </c>
      <c r="F41" s="3" t="s">
        <v>123</v>
      </c>
      <c r="G41" s="3" t="s">
        <v>124</v>
      </c>
      <c r="I41" s="50" t="s">
        <v>125</v>
      </c>
      <c r="J41" s="51" t="s">
        <v>123</v>
      </c>
      <c r="K41" s="52" t="s">
        <v>124</v>
      </c>
    </row>
    <row r="42" spans="3:11" x14ac:dyDescent="0.25">
      <c r="E42" s="3">
        <v>1</v>
      </c>
      <c r="F42" s="3">
        <v>1000</v>
      </c>
      <c r="G42" s="3">
        <v>200</v>
      </c>
      <c r="I42" s="53">
        <v>3</v>
      </c>
      <c r="J42" s="3">
        <v>2500</v>
      </c>
      <c r="K42" s="54">
        <v>500</v>
      </c>
    </row>
    <row r="43" spans="3:11" x14ac:dyDescent="0.25">
      <c r="E43" s="3">
        <v>2</v>
      </c>
      <c r="F43" s="3">
        <v>1200</v>
      </c>
      <c r="G43" s="3">
        <v>210</v>
      </c>
      <c r="I43" s="53">
        <v>4</v>
      </c>
      <c r="J43" s="3">
        <v>2800</v>
      </c>
      <c r="K43" s="54">
        <v>520</v>
      </c>
    </row>
    <row r="44" spans="3:11" x14ac:dyDescent="0.25">
      <c r="I44" s="53">
        <v>5</v>
      </c>
      <c r="J44" s="3">
        <v>3000</v>
      </c>
      <c r="K44" s="54">
        <v>580</v>
      </c>
    </row>
    <row r="45" spans="3:11" x14ac:dyDescent="0.25">
      <c r="I45" s="55"/>
      <c r="J45" s="21"/>
      <c r="K45" s="56"/>
    </row>
    <row r="47" spans="3:11" x14ac:dyDescent="0.25">
      <c r="C47" s="3" t="s">
        <v>147</v>
      </c>
      <c r="D47" s="3"/>
    </row>
    <row r="48" spans="3:11" x14ac:dyDescent="0.25">
      <c r="C48" s="3" t="s">
        <v>123</v>
      </c>
      <c r="D48" s="3"/>
    </row>
    <row r="49" spans="3:4" x14ac:dyDescent="0.25">
      <c r="C49" s="3">
        <v>2300</v>
      </c>
      <c r="D49" s="32">
        <f>AVERAGE(Table256[Target Y])</f>
        <v>533.33333333333337</v>
      </c>
    </row>
    <row r="51" spans="3:4" x14ac:dyDescent="0.25">
      <c r="C51" s="1" t="s">
        <v>148</v>
      </c>
    </row>
    <row r="52" spans="3:4" x14ac:dyDescent="0.25">
      <c r="C52" t="s">
        <v>149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Ori-E</vt:lpstr>
      <vt:lpstr>Ori-G</vt:lpstr>
      <vt:lpstr>Final TREE</vt:lpstr>
      <vt:lpstr>Ori-E cpy</vt:lpstr>
      <vt:lpstr>Cont D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Jaideep.Raulji</dc:creator>
  <cp:lastModifiedBy>Jaideep Raulji</cp:lastModifiedBy>
  <dcterms:created xsi:type="dcterms:W3CDTF">2015-06-05T18:17:20Z</dcterms:created>
  <dcterms:modified xsi:type="dcterms:W3CDTF">2026-04-06T08:46:30Z</dcterms:modified>
</cp:coreProperties>
</file>